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lockStructure="1"/>
  <bookViews>
    <workbookView windowWidth="25600" windowHeight="12080" activeTab="2"/>
  </bookViews>
  <sheets>
    <sheet name="主表" sheetId="1" r:id="rId1"/>
    <sheet name="附表" sheetId="2" r:id="rId2"/>
    <sheet name="归档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<sst xmlns="http://schemas.openxmlformats.org/spreadsheetml/2006/main" count="87" uniqueCount="57">
  <si>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</si>
  <si>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</si>
  <si>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</si>
  <si>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</si>
  <si>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</si>
  <si>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</si>
  <si>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</si>
  <si>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</si>
  <si>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</si>
  <si>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</si>
  <si>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</si>
  <si>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</si>
  <si>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</si>
  <si>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</si>
  <si>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原木HARAKII</t>
  </si>
  <si>
    <t>QQ</t>
  </si>
  <si>
    <t>PNG</t>
  </si>
  <si>
    <t>女</t>
  </si>
  <si>
    <t>头像</t>
  </si>
  <si>
    <t>无</t>
  </si>
  <si>
    <t>-</t>
  </si>
  <si>
    <r>
      <rPr>
        <sz val="11"/>
        <color theme="1"/>
        <rFont val="宋体"/>
        <charset val="134"/>
        <scheme val="minor"/>
      </rPr>
      <t xml:space="preserve">附表为设置项，用于自定义
</t>
    </r>
    <r>
      <rPr>
        <b/>
        <sz val="11"/>
        <color theme="1"/>
        <rFont val="宋体"/>
        <charset val="134"/>
        <scheme val="minor"/>
      </rPr>
      <t>平台</t>
    </r>
    <r>
      <rPr>
        <sz val="11"/>
        <color theme="1"/>
        <rFont val="宋体"/>
        <charset val="134"/>
        <scheme val="minor"/>
      </rPr>
      <t>及</t>
    </r>
    <r>
      <rPr>
        <b/>
        <sz val="11"/>
        <color theme="1"/>
        <rFont val="宋体"/>
        <charset val="134"/>
        <scheme val="minor"/>
      </rPr>
      <t>规格</t>
    </r>
    <r>
      <rPr>
        <sz val="11"/>
        <color theme="1"/>
        <rFont val="宋体"/>
        <charset val="134"/>
        <scheme val="minor"/>
      </rPr>
      <t>项的下拉菜单</t>
    </r>
  </si>
  <si>
    <t>加入图片</t>
  </si>
  <si>
    <t>佚名</t>
  </si>
  <si>
    <t>男</t>
  </si>
  <si>
    <t>立绘</t>
  </si>
  <si>
    <t>等待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</si>
  <si>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</si>
  <si>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微信</t>
  </si>
  <si>
    <t>无性</t>
  </si>
  <si>
    <t>插图</t>
  </si>
  <si>
    <t>绘制中</t>
  </si>
  <si>
    <t>其他</t>
  </si>
  <si>
    <t>QQ人</t>
  </si>
  <si>
    <t>归档</t>
  </si>
  <si>
    <t>3/4立绘</t>
  </si>
  <si>
    <t>已交稿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</si>
  <si>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</si>
  <si>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</si>
  <si>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</si>
  <si>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r>
      <rPr>
        <sz val="11"/>
        <color theme="1"/>
        <rFont val="宋体"/>
        <charset val="134"/>
        <scheme val="minor"/>
      </rPr>
      <t>它在为WPS文件提供了强大拓展功能的同时，也存在一定的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</si>
  <si>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</si>
  <si>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一般情况下，启用宏只需在打开文件时选择确认一次启用即可，WPS(16729版本) 的宏提示如下图所示。</t>
  </si>
  <si>
    <t>制表：原木HARAKII</t>
  </si>
  <si>
    <t>更新：https://haiira.github.io/myBlogIT/</t>
  </si>
  <si>
    <t>Version 1.0</t>
  </si>
  <si>
    <t>接稿平台</t>
  </si>
  <si>
    <t>稿件规格</t>
  </si>
  <si>
    <t>【设置项】</t>
  </si>
  <si>
    <t>胸像</t>
  </si>
  <si>
    <t>此处填写您希望拥有的下拉菜单选项。</t>
  </si>
  <si>
    <t>半身</t>
  </si>
  <si>
    <t>草稿</t>
  </si>
  <si>
    <t>成稿日期</t>
  </si>
  <si>
    <t>稿件</t>
  </si>
  <si>
    <t>备注</t>
  </si>
  <si>
    <t>总计稿酬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</si>
</sst>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#,##0_ "/>
    <numFmt numFmtId="181" formatCode="0.00_ "/>
  </numFmts>
  <fonts count="32">
    <font>
      <sz val="11"/>
      <color theme="1"/>
      <name val="宋体"/>
      <charset val="134"/>
      <scheme val="minor"/>
    </font>
    <font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color theme="0"/>
      <name val="微软雅黑"/>
      <charset val="134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5" borderId="18" applyNumberFormat="0" applyAlignment="0" applyProtection="0">
      <alignment vertical="center"/>
    </xf>
    <xf numFmtId="0" fontId="22" fillId="6" borderId="19" applyNumberFormat="0" applyAlignment="0" applyProtection="0">
      <alignment vertical="center"/>
    </xf>
    <xf numFmtId="0" fontId="23" fillId="6" borderId="18" applyNumberFormat="0" applyAlignment="0" applyProtection="0">
      <alignment vertical="center"/>
    </xf>
    <xf numFmtId="0" fontId="24" fillId="7" borderId="20" applyNumberFormat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179" fontId="3" fillId="2" borderId="1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178" fontId="5" fillId="3" borderId="2" xfId="0" applyNumberFormat="1" applyFont="1" applyFill="1" applyBorder="1" applyAlignment="1" applyProtection="1">
      <alignment horizontal="center" vertical="center"/>
    </xf>
    <xf numFmtId="176" fontId="3" fillId="2" borderId="1" xfId="0" applyNumberFormat="1" applyFont="1" applyFill="1" applyBorder="1" applyAlignment="1" applyProtection="1">
      <alignment horizontal="center" vertical="center"/>
      <protection locked="0"/>
    </xf>
    <xf numFmtId="179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4" fillId="3" borderId="2" xfId="0" applyNumberFormat="1" applyFont="1" applyFill="1" applyBorder="1" applyAlignment="1" applyProtection="1">
      <alignment horizontal="center" vertical="center" wrapText="1"/>
    </xf>
    <xf numFmtId="178" fontId="3" fillId="2" borderId="1" xfId="0" applyNumberFormat="1" applyFont="1" applyFill="1" applyBorder="1" applyAlignment="1" applyProtection="1">
      <alignment horizontal="center" vertical="center"/>
    </xf>
    <xf numFmtId="7" fontId="6" fillId="0" borderId="1" xfId="0" applyNumberFormat="1" applyFont="1" applyFill="1" applyBorder="1" applyAlignment="1" applyProtection="1">
      <alignment horizontal="left" vertical="center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Protection="1">
      <alignment vertical="center"/>
    </xf>
    <xf numFmtId="0" fontId="5" fillId="3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</xf>
    <xf numFmtId="0" fontId="5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1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0" fillId="0" borderId="0" xfId="0" applyFont="1" applyBorder="1" applyAlignment="1" applyProtection="1">
      <alignment vertical="center"/>
    </xf>
    <xf numFmtId="179" fontId="4" fillId="3" borderId="3" xfId="0" applyNumberFormat="1" applyFont="1" applyFill="1" applyBorder="1" applyAlignment="1" applyProtection="1">
      <alignment horizontal="center" vertical="center"/>
    </xf>
    <xf numFmtId="179" fontId="4" fillId="3" borderId="4" xfId="0" applyNumberFormat="1" applyFont="1" applyFill="1" applyBorder="1" applyAlignment="1" applyProtection="1">
      <alignment horizontal="center" vertical="center"/>
    </xf>
    <xf numFmtId="179" fontId="4" fillId="3" borderId="5" xfId="0" applyNumberFormat="1" applyFont="1" applyFill="1" applyBorder="1" applyAlignment="1" applyProtection="1">
      <alignment horizontal="center" vertical="center"/>
    </xf>
    <xf numFmtId="0" fontId="4" fillId="3" borderId="4" xfId="0" applyNumberFormat="1" applyFont="1" applyFill="1" applyBorder="1" applyAlignment="1" applyProtection="1">
      <alignment horizontal="center" vertical="center"/>
    </xf>
    <xf numFmtId="179" fontId="4" fillId="3" borderId="6" xfId="0" applyNumberFormat="1" applyFont="1" applyFill="1" applyBorder="1" applyAlignment="1" applyProtection="1">
      <alignment horizontal="center" vertical="center"/>
    </xf>
    <xf numFmtId="179" fontId="4" fillId="3" borderId="7" xfId="0" applyNumberFormat="1" applyFont="1" applyFill="1" applyBorder="1" applyAlignment="1" applyProtection="1">
      <alignment horizontal="center" vertical="center"/>
    </xf>
    <xf numFmtId="179" fontId="4" fillId="3" borderId="8" xfId="0" applyNumberFormat="1" applyFont="1" applyFill="1" applyBorder="1" applyAlignment="1" applyProtection="1">
      <alignment horizontal="center" vertical="center"/>
    </xf>
    <xf numFmtId="0" fontId="4" fillId="3" borderId="7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9" fillId="0" borderId="9" xfId="6" applyNumberFormat="1" applyFont="1" applyFill="1" applyBorder="1" applyAlignment="1" applyProtection="1">
      <alignment horizontal="center" vertical="center" wrapText="1"/>
      <protection locked="0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11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179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1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77" fontId="12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3" fillId="0" borderId="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5" fillId="3" borderId="11" xfId="0" applyFont="1" applyFill="1" applyBorder="1" applyAlignment="1" applyProtection="1">
      <alignment horizontal="center" vertical="center"/>
    </xf>
    <xf numFmtId="0" fontId="5" fillId="3" borderId="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F3D2863E-E8FE-4AB7-BE97-C6D029E2AEE5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2.png"/></Relationships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493760" y="6496685"/>
          <a:ext cx="158051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8493760</left>
      <top>6496685</top>
      <width>1580515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W25"/>
  <sheetViews>
    <sheetView showGridLines="0" workbookViewId="0">
      <selection activeCell="C4" sqref="C4"/>
    </sheetView>
  </sheetViews>
  <sheetFormatPr defaultColWidth="8.61818181818182" defaultRowHeight="22" customHeight="1"/>
  <cols>
    <col min="1" max="1" width="4.12727272727273" style="27" customWidth="1"/>
    <col min="2" max="2" width="5.75454545454545" style="28" customWidth="1"/>
    <col min="3" max="3" width="15" style="29" customWidth="1"/>
    <col min="4" max="4" width="9.12727272727273" style="29" customWidth="1"/>
    <col min="5" max="5" width="13.8727272727273" style="29" customWidth="1"/>
    <col min="6" max="6" width="13.2545454545455" style="30" customWidth="1"/>
    <col min="7" max="7" width="10.5" style="31" customWidth="1"/>
    <col min="8" max="8" width="14.5454545454545" style="28" customWidth="1"/>
    <col min="9" max="9" width="7.75454545454545" style="32" customWidth="1"/>
    <col min="10" max="10" width="10.2545454545455" style="32" customWidth="1"/>
    <col min="11" max="11" width="20.2727272727273" style="33" customWidth="1"/>
    <col min="12" max="12" width="10.2545454545455" style="30" customWidth="1"/>
    <col min="13" max="13" width="9.45454545454546" style="34" customWidth="1"/>
    <col min="14" max="14" width="5.18181818181818" style="28" customWidth="1"/>
    <col min="15" max="15" width="4.63636363636364" style="35" customWidth="1"/>
    <col min="16" max="16" width="9" style="34" customWidth="1"/>
    <col min="17" max="19" width="8.61818181818182" style="34"/>
    <col min="20" max="20" width="3.45454545454545" style="34" customWidth="1"/>
    <col min="21" max="16384" width="8.61818181818182" style="34"/>
  </cols>
  <sheetData>
    <row r="1" s="26" customFormat="1" ht="18" customHeight="1" spans="14:15">
      <c r="N1" s="55"/>
      <c r="O1" s="56"/>
    </row>
    <row r="2" customHeight="1" spans="2:15">
      <c r="B2" s="9" t="s">
        <v>0</v>
      </c>
      <c r="C2" s="36" t="s">
        <v>1</v>
      </c>
      <c r="D2" s="37" t="s">
        <v>2</v>
      </c>
      <c r="E2" s="38" t="s">
        <v>3</v>
      </c>
      <c r="F2" s="37" t="s">
        <v>4</v>
      </c>
      <c r="G2" s="39" t="s">
        <v>5</v>
      </c>
      <c r="H2" s="38" t="s">
        <v>6</v>
      </c>
      <c r="I2" s="39" t="s">
        <v>7</v>
      </c>
      <c r="J2" s="38" t="s">
        <v>8</v>
      </c>
      <c r="K2" s="38" t="s">
        <v>9</v>
      </c>
      <c r="L2" s="39" t="s">
        <v>10</v>
      </c>
      <c r="M2" s="57" t="s">
        <v>11</v>
      </c>
      <c r="N2" s="57"/>
      <c r="O2" s="58"/>
    </row>
    <row r="3" customHeight="1" spans="2:19">
      <c r="B3" s="9"/>
      <c r="C3" s="40"/>
      <c r="D3" s="41"/>
      <c r="E3" s="42"/>
      <c r="F3" s="41"/>
      <c r="G3" s="43"/>
      <c r="H3" s="42"/>
      <c r="I3" s="43"/>
      <c r="J3" s="42"/>
      <c r="K3" s="42"/>
      <c r="L3" s="43"/>
      <c r="M3" s="57" t="s">
        <v>12</v>
      </c>
      <c r="N3" s="59">
        <f>COUNTIF(M:M,"等待")+COUNTIF(M:M,"绘制中")</f>
        <v>3</v>
      </c>
      <c r="P3" s="60" t="s">
        <v>13</v>
      </c>
      <c r="Q3" s="60"/>
      <c r="R3" s="60"/>
      <c r="S3" s="60"/>
    </row>
    <row r="4" customHeight="1" spans="2:23">
      <c r="B4" s="44">
        <v>1</v>
      </c>
      <c r="C4" s="45" t="s">
        <v>14</v>
      </c>
      <c r="D4" s="4" t="s">
        <v>15</v>
      </c>
      <c r="E4" s="46">
        <v>45429</v>
      </c>
      <c r="F4" s="47">
        <v>45463</v>
      </c>
      <c r="G4" s="48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34天</v>
      </c>
      <c r="H4" s="49" t="s">
        <v>16</v>
      </c>
      <c r="I4" s="61" t="s">
        <v>17</v>
      </c>
      <c r="J4" s="62" t="s">
        <v>18</v>
      </c>
      <c r="K4" s="63" t="s">
        <v>19</v>
      </c>
      <c r="L4" s="64">
        <v>0</v>
      </c>
      <c r="M4" s="45" t="s">
        <v>20</v>
      </c>
      <c r="N4" s="45"/>
      <c r="O4" s="65" t="str">
        <f ca="1" t="shared" ref="O4:O8" si="1">IF(M4="已交稿",TODAY(),"")</f>
        <v/>
      </c>
      <c r="P4" s="66" t="s">
        <v>21</v>
      </c>
      <c r="Q4" s="67"/>
      <c r="R4" s="67"/>
      <c r="S4" s="67"/>
      <c r="U4" s="74" t="s">
        <v>22</v>
      </c>
      <c r="V4" s="75"/>
      <c r="W4" s="76"/>
    </row>
    <row r="5" customHeight="1" spans="2:23">
      <c r="B5" s="44">
        <v>2</v>
      </c>
      <c r="C5" s="45" t="s">
        <v>23</v>
      </c>
      <c r="D5" s="50" t="s">
        <v>15</v>
      </c>
      <c r="E5" s="46">
        <v>45429</v>
      </c>
      <c r="F5" s="47">
        <v>45431</v>
      </c>
      <c r="G5" s="48" t="str">
        <f ca="1" t="shared" si="0"/>
        <v>2天</v>
      </c>
      <c r="H5" s="49" t="s">
        <v>16</v>
      </c>
      <c r="I5" s="61" t="s">
        <v>24</v>
      </c>
      <c r="J5" s="62" t="s">
        <v>25</v>
      </c>
      <c r="K5" s="63" t="s">
        <v>19</v>
      </c>
      <c r="L5" s="64">
        <v>0</v>
      </c>
      <c r="M5" s="45" t="s">
        <v>26</v>
      </c>
      <c r="N5" s="45"/>
      <c r="O5" s="65" t="str">
        <f ca="1" t="shared" si="1"/>
        <v/>
      </c>
      <c r="P5" s="67"/>
      <c r="Q5" s="67"/>
      <c r="R5" s="67"/>
      <c r="S5" s="67"/>
      <c r="U5" s="77" t="s">
        <v>27</v>
      </c>
      <c r="V5" s="78"/>
      <c r="W5" s="79"/>
    </row>
    <row r="6" customHeight="1" spans="2:23">
      <c r="B6" s="44">
        <v>3</v>
      </c>
      <c r="C6" s="45" t="s">
        <v>23</v>
      </c>
      <c r="D6" s="50" t="s">
        <v>28</v>
      </c>
      <c r="E6" s="46">
        <v>45429</v>
      </c>
      <c r="F6" s="47">
        <v>45429</v>
      </c>
      <c r="G6" s="48" t="str">
        <f ca="1" t="shared" si="0"/>
        <v>今天！</v>
      </c>
      <c r="H6" s="49" t="s">
        <v>16</v>
      </c>
      <c r="I6" s="61" t="s">
        <v>29</v>
      </c>
      <c r="J6" s="62" t="s">
        <v>30</v>
      </c>
      <c r="K6" s="63" t="s">
        <v>19</v>
      </c>
      <c r="L6" s="64">
        <v>0</v>
      </c>
      <c r="M6" s="45" t="s">
        <v>31</v>
      </c>
      <c r="N6" s="45"/>
      <c r="O6" s="65" t="str">
        <f ca="1" t="shared" si="1"/>
        <v/>
      </c>
      <c r="U6" s="80"/>
      <c r="V6" s="81"/>
      <c r="W6" s="82"/>
    </row>
    <row r="7" customHeight="1" spans="2:23">
      <c r="B7" s="44">
        <v>4</v>
      </c>
      <c r="C7" s="45" t="s">
        <v>23</v>
      </c>
      <c r="D7" s="50" t="s">
        <v>28</v>
      </c>
      <c r="E7" s="46">
        <v>45429</v>
      </c>
      <c r="F7" s="47">
        <v>45428</v>
      </c>
      <c r="G7" s="48" t="str">
        <f ca="1" t="shared" si="0"/>
        <v>逾期！</v>
      </c>
      <c r="H7" s="49" t="s">
        <v>16</v>
      </c>
      <c r="I7" s="61" t="s">
        <v>32</v>
      </c>
      <c r="J7" s="62" t="s">
        <v>33</v>
      </c>
      <c r="K7" s="63" t="s">
        <v>19</v>
      </c>
      <c r="L7" s="64">
        <v>0</v>
      </c>
      <c r="M7" s="45" t="s">
        <v>31</v>
      </c>
      <c r="N7" s="45"/>
      <c r="O7" s="65" t="str">
        <f ca="1" t="shared" si="1"/>
        <v/>
      </c>
      <c r="P7" s="60" t="s">
        <v>34</v>
      </c>
      <c r="Q7" s="60"/>
      <c r="R7" s="60"/>
      <c r="S7" s="60"/>
      <c r="U7" s="83"/>
      <c r="V7" s="84"/>
      <c r="W7" s="85"/>
    </row>
    <row r="8" customHeight="1" spans="2:19">
      <c r="B8" s="44">
        <v>5</v>
      </c>
      <c r="C8" s="45" t="s">
        <v>23</v>
      </c>
      <c r="D8" s="50" t="s">
        <v>28</v>
      </c>
      <c r="E8" s="46">
        <v>45429</v>
      </c>
      <c r="F8" s="47">
        <v>45428</v>
      </c>
      <c r="G8" s="48" t="str">
        <f ca="1" t="shared" ref="G4:G11" si="2">IF(OR(COUNTIF(F8,"-"),COUNTIF(F8,"")),"-",IF(DATEDIF(TODAY(),F8,"d")&lt;=0,IF(DATEDIF(TODAY(),F8,"d")=0,"今天！",IF(COUNTIF(M8,"已交稿"),"完成","逾期！")),CONCATENATE(DATEDIF(TODAY(),F8,"d"),"天")))</f>
        <v>完成</v>
      </c>
      <c r="H8" s="49" t="s">
        <v>16</v>
      </c>
      <c r="I8" s="61" t="s">
        <v>32</v>
      </c>
      <c r="J8" s="62" t="s">
        <v>35</v>
      </c>
      <c r="K8" s="63" t="s">
        <v>19</v>
      </c>
      <c r="L8" s="64">
        <v>0</v>
      </c>
      <c r="M8" s="45" t="s">
        <v>36</v>
      </c>
      <c r="N8" s="45"/>
      <c r="O8" s="65">
        <f ca="1" t="shared" si="1"/>
        <v>45429</v>
      </c>
      <c r="P8" s="68" t="s">
        <v>37</v>
      </c>
      <c r="Q8" s="69"/>
      <c r="R8" s="69"/>
      <c r="S8" s="69"/>
    </row>
    <row r="9" customHeight="1" spans="2:19">
      <c r="B9" s="44">
        <v>6</v>
      </c>
      <c r="C9" s="45"/>
      <c r="D9" s="50"/>
      <c r="E9" s="46"/>
      <c r="F9" s="47"/>
      <c r="G9" s="48" t="str">
        <f ca="1" t="shared" si="2"/>
        <v>-</v>
      </c>
      <c r="H9" s="51"/>
      <c r="I9" s="61"/>
      <c r="J9" s="62"/>
      <c r="K9" s="63"/>
      <c r="L9" s="64"/>
      <c r="M9" s="45"/>
      <c r="N9" s="45"/>
      <c r="O9" s="65" t="str">
        <f ca="1" t="shared" ref="O5:O23" si="3">IF(M9="已交稿",TODAY(),"")</f>
        <v/>
      </c>
      <c r="P9" s="69"/>
      <c r="Q9" s="69"/>
      <c r="R9" s="69"/>
      <c r="S9" s="69"/>
    </row>
    <row r="10" customHeight="1" spans="2:15">
      <c r="B10" s="44">
        <v>7</v>
      </c>
      <c r="C10" s="45"/>
      <c r="D10" s="50"/>
      <c r="E10" s="46"/>
      <c r="F10" s="47"/>
      <c r="G10" s="48" t="str">
        <f ca="1" t="shared" si="2"/>
        <v>-</v>
      </c>
      <c r="H10" s="51"/>
      <c r="I10" s="61"/>
      <c r="J10" s="62"/>
      <c r="K10" s="63"/>
      <c r="L10" s="64"/>
      <c r="M10" s="45"/>
      <c r="N10" s="45"/>
      <c r="O10" s="65" t="str">
        <f ca="1" t="shared" si="3"/>
        <v/>
      </c>
    </row>
    <row r="11" customHeight="1" spans="2:19">
      <c r="B11" s="44">
        <v>8</v>
      </c>
      <c r="C11" s="45"/>
      <c r="D11" s="50"/>
      <c r="E11" s="46"/>
      <c r="F11" s="47"/>
      <c r="G11" s="48" t="str">
        <f ca="1" t="shared" si="2"/>
        <v>-</v>
      </c>
      <c r="H11" s="52"/>
      <c r="I11" s="61"/>
      <c r="J11" s="62"/>
      <c r="K11" s="63"/>
      <c r="L11" s="64"/>
      <c r="M11" s="45"/>
      <c r="N11" s="45"/>
      <c r="O11" s="65" t="str">
        <f ca="1" t="shared" si="3"/>
        <v/>
      </c>
      <c r="P11" s="60" t="s">
        <v>38</v>
      </c>
      <c r="Q11" s="60"/>
      <c r="R11" s="60"/>
      <c r="S11" s="60"/>
    </row>
    <row r="12" customHeight="1" spans="2:19">
      <c r="B12" s="44">
        <v>9</v>
      </c>
      <c r="C12" s="45"/>
      <c r="D12" s="50"/>
      <c r="E12" s="46"/>
      <c r="F12" s="47"/>
      <c r="G12" s="48" t="str">
        <f ca="1" t="shared" ref="G12:G23" si="4">IF(OR(COUNTIF(F12,"-"),COUNTIF(F12,"")),"-",IF(DATEDIF(TODAY(),F12,"d")&lt;=0,IF(DATEDIF(TODAY(),F12,"d")=0,"今天！",IF(COUNTIF(M12,"已交稿"),"完成","逾期！")),CONCATENATE(DATEDIF(TODAY(),F12,"d"),"天")))</f>
        <v>-</v>
      </c>
      <c r="H12" s="51"/>
      <c r="I12" s="61"/>
      <c r="J12" s="62"/>
      <c r="K12" s="63"/>
      <c r="L12" s="64"/>
      <c r="M12" s="45"/>
      <c r="N12" s="45"/>
      <c r="O12" s="65" t="str">
        <f ca="1" t="shared" si="3"/>
        <v/>
      </c>
      <c r="P12" s="70" t="s">
        <v>39</v>
      </c>
      <c r="Q12" s="86"/>
      <c r="R12" s="86"/>
      <c r="S12" s="87"/>
    </row>
    <row r="13" customHeight="1" spans="2:19">
      <c r="B13" s="44">
        <v>10</v>
      </c>
      <c r="C13" s="45"/>
      <c r="D13" s="50"/>
      <c r="E13" s="46"/>
      <c r="F13" s="47"/>
      <c r="G13" s="48" t="str">
        <f ca="1" t="shared" si="4"/>
        <v>-</v>
      </c>
      <c r="H13" s="53"/>
      <c r="I13" s="61"/>
      <c r="J13" s="62"/>
      <c r="K13" s="63"/>
      <c r="L13" s="64"/>
      <c r="M13" s="45"/>
      <c r="N13" s="45"/>
      <c r="O13" s="65" t="str">
        <f ca="1" t="shared" si="3"/>
        <v/>
      </c>
      <c r="P13" s="71"/>
      <c r="Q13" s="88"/>
      <c r="R13" s="88"/>
      <c r="S13" s="89"/>
    </row>
    <row r="14" customHeight="1" spans="2:19">
      <c r="B14" s="44">
        <v>11</v>
      </c>
      <c r="C14" s="45"/>
      <c r="D14" s="50"/>
      <c r="E14" s="46"/>
      <c r="F14" s="47"/>
      <c r="G14" s="48" t="str">
        <f ca="1" t="shared" si="4"/>
        <v>-</v>
      </c>
      <c r="H14" s="53"/>
      <c r="I14" s="61"/>
      <c r="J14" s="62"/>
      <c r="K14" s="63"/>
      <c r="L14" s="64"/>
      <c r="M14" s="45"/>
      <c r="N14" s="45"/>
      <c r="O14" s="65" t="str">
        <f ca="1" t="shared" si="3"/>
        <v/>
      </c>
      <c r="P14" s="71" t="s">
        <v>40</v>
      </c>
      <c r="Q14" s="88"/>
      <c r="R14" s="88"/>
      <c r="S14" s="89"/>
    </row>
    <row r="15" customHeight="1" spans="2:19">
      <c r="B15" s="44">
        <v>12</v>
      </c>
      <c r="C15" s="45"/>
      <c r="D15" s="50"/>
      <c r="E15" s="46"/>
      <c r="F15" s="47"/>
      <c r="G15" s="48" t="str">
        <f ca="1" t="shared" si="4"/>
        <v>-</v>
      </c>
      <c r="H15" s="53"/>
      <c r="I15" s="61"/>
      <c r="J15" s="62"/>
      <c r="K15" s="63"/>
      <c r="L15" s="64"/>
      <c r="M15" s="45"/>
      <c r="N15" s="45"/>
      <c r="O15" s="65" t="str">
        <f ca="1" t="shared" si="3"/>
        <v/>
      </c>
      <c r="P15" s="71"/>
      <c r="Q15" s="88"/>
      <c r="R15" s="88"/>
      <c r="S15" s="89"/>
    </row>
    <row r="16" customHeight="1" spans="2:19">
      <c r="B16" s="44">
        <v>13</v>
      </c>
      <c r="C16" s="45"/>
      <c r="D16" s="50"/>
      <c r="E16" s="46"/>
      <c r="F16" s="47"/>
      <c r="G16" s="48" t="str">
        <f ca="1" t="shared" si="4"/>
        <v>-</v>
      </c>
      <c r="H16" s="53"/>
      <c r="I16" s="61"/>
      <c r="J16" s="62"/>
      <c r="K16" s="63"/>
      <c r="L16" s="64"/>
      <c r="M16" s="45"/>
      <c r="N16" s="45"/>
      <c r="O16" s="65" t="str">
        <f ca="1" t="shared" si="3"/>
        <v/>
      </c>
      <c r="P16" s="71" t="s">
        <v>41</v>
      </c>
      <c r="Q16" s="88"/>
      <c r="R16" s="88"/>
      <c r="S16" s="89"/>
    </row>
    <row r="17" customHeight="1" spans="2:19">
      <c r="B17" s="44">
        <v>14</v>
      </c>
      <c r="C17" s="45"/>
      <c r="D17" s="50"/>
      <c r="E17" s="46"/>
      <c r="F17" s="47"/>
      <c r="G17" s="48" t="str">
        <f ca="1" t="shared" si="4"/>
        <v>-</v>
      </c>
      <c r="H17" s="53"/>
      <c r="I17" s="61"/>
      <c r="J17" s="62"/>
      <c r="K17" s="63"/>
      <c r="L17" s="64"/>
      <c r="M17" s="45"/>
      <c r="N17" s="45"/>
      <c r="O17" s="65" t="str">
        <f ca="1" t="shared" si="3"/>
        <v/>
      </c>
      <c r="P17" s="71"/>
      <c r="Q17" s="88"/>
      <c r="R17" s="88"/>
      <c r="S17" s="89"/>
    </row>
    <row r="18" customHeight="1" spans="2:19">
      <c r="B18" s="44">
        <v>15</v>
      </c>
      <c r="C18" s="45"/>
      <c r="D18" s="50"/>
      <c r="E18" s="46"/>
      <c r="F18" s="47"/>
      <c r="G18" s="48" t="str">
        <f ca="1" t="shared" si="4"/>
        <v>-</v>
      </c>
      <c r="H18" s="53"/>
      <c r="I18" s="61"/>
      <c r="J18" s="62"/>
      <c r="K18" s="63"/>
      <c r="L18" s="64"/>
      <c r="M18" s="45"/>
      <c r="N18" s="45"/>
      <c r="O18" s="65" t="str">
        <f ca="1" t="shared" si="3"/>
        <v/>
      </c>
      <c r="P18" s="71"/>
      <c r="Q18" s="88"/>
      <c r="R18" s="88"/>
      <c r="S18" s="89"/>
    </row>
    <row r="19" customHeight="1" spans="2:19">
      <c r="B19" s="44">
        <v>16</v>
      </c>
      <c r="C19" s="45"/>
      <c r="D19" s="50"/>
      <c r="E19" s="46"/>
      <c r="F19" s="47"/>
      <c r="G19" s="48" t="str">
        <f ca="1" t="shared" si="4"/>
        <v>-</v>
      </c>
      <c r="H19" s="53"/>
      <c r="I19" s="61"/>
      <c r="J19" s="62"/>
      <c r="K19" s="63"/>
      <c r="L19" s="64"/>
      <c r="M19" s="45"/>
      <c r="N19" s="45"/>
      <c r="O19" s="65" t="str">
        <f ca="1" t="shared" si="3"/>
        <v/>
      </c>
      <c r="P19" s="71" t="s">
        <v>42</v>
      </c>
      <c r="Q19" s="88"/>
      <c r="R19" s="88"/>
      <c r="S19" s="89"/>
    </row>
    <row r="20" customHeight="1" spans="2:19">
      <c r="B20" s="44">
        <v>17</v>
      </c>
      <c r="C20" s="45"/>
      <c r="D20" s="50"/>
      <c r="E20" s="46"/>
      <c r="F20" s="47"/>
      <c r="G20" s="48" t="str">
        <f ca="1" t="shared" si="4"/>
        <v>-</v>
      </c>
      <c r="H20" s="53"/>
      <c r="I20" s="61"/>
      <c r="J20" s="62"/>
      <c r="K20" s="63"/>
      <c r="L20" s="64"/>
      <c r="M20" s="45"/>
      <c r="N20" s="45"/>
      <c r="O20" s="65" t="str">
        <f ca="1" t="shared" si="3"/>
        <v/>
      </c>
      <c r="P20" s="71"/>
      <c r="Q20" s="88"/>
      <c r="R20" s="88"/>
      <c r="S20" s="89"/>
    </row>
    <row r="21" customHeight="1" spans="2:19">
      <c r="B21" s="44">
        <v>18</v>
      </c>
      <c r="C21" s="45"/>
      <c r="D21" s="50"/>
      <c r="E21" s="46"/>
      <c r="F21" s="47"/>
      <c r="G21" s="48" t="str">
        <f ca="1" t="shared" si="4"/>
        <v>-</v>
      </c>
      <c r="H21" s="53"/>
      <c r="I21" s="61"/>
      <c r="J21" s="62"/>
      <c r="K21" s="63"/>
      <c r="L21" s="64"/>
      <c r="M21" s="45"/>
      <c r="N21" s="45"/>
      <c r="O21" s="65" t="str">
        <f ca="1" t="shared" si="3"/>
        <v/>
      </c>
      <c r="P21" s="72" t="str">
        <f>_xlfn.DISPIMG("ID_2D5E0BBC8BF34D37BE38EE06177C2B61",1)</f>
        <v>=DISPIMG("ID_2D5E0BBC8BF34D37BE38EE06177C2B61",1)</v>
      </c>
      <c r="Q21" s="90"/>
      <c r="R21" s="90"/>
      <c r="S21" s="91"/>
    </row>
    <row r="22" customHeight="1" spans="2:19">
      <c r="B22" s="44">
        <v>19</v>
      </c>
      <c r="C22" s="45"/>
      <c r="D22" s="50"/>
      <c r="E22" s="46"/>
      <c r="F22" s="47"/>
      <c r="G22" s="48" t="str">
        <f ca="1" t="shared" si="4"/>
        <v>-</v>
      </c>
      <c r="H22" s="53"/>
      <c r="I22" s="61"/>
      <c r="J22" s="62"/>
      <c r="K22" s="63"/>
      <c r="L22" s="64"/>
      <c r="M22" s="45"/>
      <c r="N22" s="45"/>
      <c r="O22" s="65" t="str">
        <f ca="1" t="shared" si="3"/>
        <v/>
      </c>
      <c r="P22" s="73"/>
      <c r="Q22" s="92"/>
      <c r="R22" s="92"/>
      <c r="S22" s="93"/>
    </row>
    <row r="23" customHeight="1" spans="2:15">
      <c r="B23" s="44">
        <v>20</v>
      </c>
      <c r="C23" s="45"/>
      <c r="D23" s="50"/>
      <c r="E23" s="46"/>
      <c r="F23" s="47"/>
      <c r="G23" s="48" t="str">
        <f ca="1" t="shared" si="4"/>
        <v>-</v>
      </c>
      <c r="H23" s="53"/>
      <c r="I23" s="61"/>
      <c r="J23" s="62"/>
      <c r="K23" s="63"/>
      <c r="L23" s="64"/>
      <c r="M23" s="45"/>
      <c r="N23" s="45"/>
      <c r="O23" s="65" t="str">
        <f ca="1" t="shared" si="3"/>
        <v/>
      </c>
    </row>
    <row r="24" ht="11" customHeight="1"/>
    <row r="25" customHeight="1" spans="3:19">
      <c r="C25" s="54" t="s">
        <v>43</v>
      </c>
      <c r="D25" s="54"/>
      <c r="E25" s="54" t="s">
        <v>44</v>
      </c>
      <c r="F25" s="54"/>
      <c r="G25" s="54"/>
      <c r="H25" s="54"/>
      <c r="I25" s="54"/>
      <c r="R25" s="94" t="s">
        <v>45</v>
      </c>
      <c r="S25" s="94"/>
    </row>
  </sheetData>
  <sheetProtection sheet="1" selectLockedCells="1" insertHyperlinks="0" objects="1"/>
  <mergeCells count="47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R25:S25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</mergeCells>
  <conditionalFormatting sqref="E18">
    <cfRule type="expression" dxfId="0" priority="72">
      <formula>COUNTIF(M18,"已交稿")</formula>
    </cfRule>
  </conditionalFormatting>
  <conditionalFormatting sqref="F18">
    <cfRule type="expression" dxfId="0" priority="66">
      <formula>COUNTIF(M18,"已交稿")</formula>
    </cfRule>
  </conditionalFormatting>
  <conditionalFormatting sqref="C19">
    <cfRule type="expression" dxfId="1" priority="77">
      <formula>COUNTIF(M19,"已交稿")</formula>
    </cfRule>
  </conditionalFormatting>
  <conditionalFormatting sqref="D19">
    <cfRule type="expression" dxfId="0" priority="50">
      <formula>COUNTIF(M19,"已交稿")</formula>
    </cfRule>
  </conditionalFormatting>
  <conditionalFormatting sqref="E19">
    <cfRule type="expression" dxfId="0" priority="10">
      <formula>COUNTIF(M19,"已交稿")</formula>
    </cfRule>
  </conditionalFormatting>
  <conditionalFormatting sqref="F19">
    <cfRule type="expression" dxfId="0" priority="5">
      <formula>COUNTIF(M19,"已交稿")</formula>
    </cfRule>
  </conditionalFormatting>
  <conditionalFormatting sqref="H19">
    <cfRule type="expression" dxfId="0" priority="40">
      <formula>COUNTIF(M19,"已交稿")</formula>
    </cfRule>
  </conditionalFormatting>
  <conditionalFormatting sqref="I19">
    <cfRule type="expression" dxfId="0" priority="35">
      <formula>COUNTIF(M19,"已交稿")</formula>
    </cfRule>
  </conditionalFormatting>
  <conditionalFormatting sqref="J19">
    <cfRule type="expression" dxfId="0" priority="15">
      <formula>COUNTIF(M19,"已交稿")</formula>
    </cfRule>
  </conditionalFormatting>
  <conditionalFormatting sqref="M19">
    <cfRule type="expression" dxfId="0" priority="20">
      <formula>COUNTIF(M19,"已交稿")</formula>
    </cfRule>
  </conditionalFormatting>
  <conditionalFormatting sqref="C20">
    <cfRule type="expression" dxfId="1" priority="76">
      <formula>COUNTIF(M20,"已交稿")</formula>
    </cfRule>
  </conditionalFormatting>
  <conditionalFormatting sqref="D20">
    <cfRule type="expression" dxfId="0" priority="49">
      <formula>COUNTIF(M20,"已交稿")</formula>
    </cfRule>
  </conditionalFormatting>
  <conditionalFormatting sqref="E20">
    <cfRule type="expression" dxfId="0" priority="9">
      <formula>COUNTIF(M20,"已交稿")</formula>
    </cfRule>
  </conditionalFormatting>
  <conditionalFormatting sqref="F20">
    <cfRule type="expression" dxfId="0" priority="4">
      <formula>COUNTIF(M20,"已交稿")</formula>
    </cfRule>
  </conditionalFormatting>
  <conditionalFormatting sqref="H20">
    <cfRule type="expression" dxfId="0" priority="39">
      <formula>COUNTIF(M20,"已交稿")</formula>
    </cfRule>
  </conditionalFormatting>
  <conditionalFormatting sqref="I20">
    <cfRule type="expression" dxfId="0" priority="34">
      <formula>COUNTIF(M20,"已交稿")</formula>
    </cfRule>
  </conditionalFormatting>
  <conditionalFormatting sqref="J20">
    <cfRule type="expression" dxfId="0" priority="14">
      <formula>COUNTIF(M20,"已交稿")</formula>
    </cfRule>
  </conditionalFormatting>
  <conditionalFormatting sqref="M20">
    <cfRule type="expression" dxfId="0" priority="19">
      <formula>COUNTIF(M20,"已交稿")</formula>
    </cfRule>
  </conditionalFormatting>
  <conditionalFormatting sqref="C21">
    <cfRule type="expression" dxfId="1" priority="75">
      <formula>COUNTIF(M21,"已交稿")</formula>
    </cfRule>
  </conditionalFormatting>
  <conditionalFormatting sqref="D21">
    <cfRule type="expression" dxfId="0" priority="48">
      <formula>COUNTIF(M21,"已交稿")</formula>
    </cfRule>
  </conditionalFormatting>
  <conditionalFormatting sqref="E21">
    <cfRule type="expression" dxfId="0" priority="8">
      <formula>COUNTIF(M21,"已交稿")</formula>
    </cfRule>
  </conditionalFormatting>
  <conditionalFormatting sqref="F21">
    <cfRule type="expression" dxfId="0" priority="3">
      <formula>COUNTIF(M21,"已交稿")</formula>
    </cfRule>
  </conditionalFormatting>
  <conditionalFormatting sqref="H21">
    <cfRule type="expression" dxfId="0" priority="38">
      <formula>COUNTIF(M21,"已交稿")</formula>
    </cfRule>
  </conditionalFormatting>
  <conditionalFormatting sqref="I21">
    <cfRule type="expression" dxfId="0" priority="33">
      <formula>COUNTIF(M21,"已交稿")</formula>
    </cfRule>
  </conditionalFormatting>
  <conditionalFormatting sqref="J21">
    <cfRule type="expression" dxfId="0" priority="13">
      <formula>COUNTIF(M21,"已交稿")</formula>
    </cfRule>
  </conditionalFormatting>
  <conditionalFormatting sqref="M21">
    <cfRule type="expression" dxfId="0" priority="18">
      <formula>COUNTIF(M21,"已交稿")</formula>
    </cfRule>
  </conditionalFormatting>
  <conditionalFormatting sqref="C22">
    <cfRule type="expression" dxfId="1" priority="74">
      <formula>COUNTIF(M22,"已交稿")</formula>
    </cfRule>
  </conditionalFormatting>
  <conditionalFormatting sqref="D22">
    <cfRule type="expression" dxfId="0" priority="47">
      <formula>COUNTIF(M22,"已交稿")</formula>
    </cfRule>
  </conditionalFormatting>
  <conditionalFormatting sqref="E22">
    <cfRule type="expression" dxfId="0" priority="7">
      <formula>COUNTIF(M22,"已交稿")</formula>
    </cfRule>
  </conditionalFormatting>
  <conditionalFormatting sqref="F22">
    <cfRule type="expression" dxfId="0" priority="2">
      <formula>COUNTIF(M22,"已交稿")</formula>
    </cfRule>
  </conditionalFormatting>
  <conditionalFormatting sqref="H22">
    <cfRule type="expression" dxfId="0" priority="37">
      <formula>COUNTIF(M22,"已交稿")</formula>
    </cfRule>
  </conditionalFormatting>
  <conditionalFormatting sqref="I22">
    <cfRule type="expression" dxfId="0" priority="32">
      <formula>COUNTIF(M22,"已交稿")</formula>
    </cfRule>
  </conditionalFormatting>
  <conditionalFormatting sqref="J22">
    <cfRule type="expression" dxfId="0" priority="12">
      <formula>COUNTIF(M22,"已交稿")</formula>
    </cfRule>
  </conditionalFormatting>
  <conditionalFormatting sqref="M22">
    <cfRule type="expression" dxfId="0" priority="17">
      <formula>COUNTIF(M22,"已交稿")</formula>
    </cfRule>
  </conditionalFormatting>
  <conditionalFormatting sqref="C23">
    <cfRule type="expression" dxfId="1" priority="73">
      <formula>COUNTIF(M23,"已交稿")</formula>
    </cfRule>
  </conditionalFormatting>
  <conditionalFormatting sqref="D23">
    <cfRule type="expression" dxfId="0" priority="46">
      <formula>COUNTIF(M23,"已交稿")</formula>
    </cfRule>
  </conditionalFormatting>
  <conditionalFormatting sqref="E23">
    <cfRule type="expression" dxfId="0" priority="6">
      <formula>COUNTIF(M23,"已交稿")</formula>
    </cfRule>
  </conditionalFormatting>
  <conditionalFormatting sqref="F23">
    <cfRule type="expression" dxfId="0" priority="1">
      <formula>COUNTIF(M23,"已交稿")</formula>
    </cfRule>
  </conditionalFormatting>
  <conditionalFormatting sqref="H23">
    <cfRule type="expression" dxfId="0" priority="36">
      <formula>COUNTIF(M23,"已交稿")</formula>
    </cfRule>
  </conditionalFormatting>
  <conditionalFormatting sqref="I23">
    <cfRule type="expression" dxfId="0" priority="31">
      <formula>COUNTIF(M23,"已交稿")</formula>
    </cfRule>
  </conditionalFormatting>
  <conditionalFormatting sqref="J23">
    <cfRule type="expression" dxfId="0" priority="11">
      <formula>COUNTIF(M23,"已交稿")</formula>
    </cfRule>
  </conditionalFormatting>
  <conditionalFormatting sqref="M23">
    <cfRule type="expression" dxfId="0" priority="16">
      <formula>COUNTIF(M23,"已交稿")</formula>
    </cfRule>
  </conditionalFormatting>
  <conditionalFormatting sqref="B4:B23">
    <cfRule type="expression" dxfId="1" priority="78">
      <formula>COUNTIF(L4,"已交稿")</formula>
    </cfRule>
  </conditionalFormatting>
  <conditionalFormatting sqref="B25:B1048576 C4:C18">
    <cfRule type="expression" dxfId="1" priority="90">
      <formula>COUNTIF(L4,"已交稿")</formula>
    </cfRule>
  </conditionalFormatting>
  <conditionalFormatting sqref="C25:C1048576 D4:D18">
    <cfRule type="expression" dxfId="0" priority="89">
      <formula>COUNTIF(L4,"已交稿")</formula>
    </cfRule>
  </conditionalFormatting>
  <conditionalFormatting sqref="D26:D1048576 E4:E17">
    <cfRule type="expression" dxfId="0" priority="88">
      <formula>COUNTIF(L4,"已交稿")</formula>
    </cfRule>
  </conditionalFormatting>
  <conditionalFormatting sqref="E26:E1048576 F4:F17">
    <cfRule type="expression" dxfId="0" priority="87">
      <formula>COUNTIF(L4,"已交稿")</formula>
    </cfRule>
  </conditionalFormatting>
  <conditionalFormatting sqref="F26:F1048576 G4:G23">
    <cfRule type="expression" dxfId="0" priority="86">
      <formula>COUNTIF(L4,"已交稿")</formula>
    </cfRule>
    <cfRule type="expression" dxfId="2" priority="91">
      <formula>AND(COUNTA(E4),DATEDIF(TODAY(),E4,"d")&lt;4,NOT(COUNTIF(L4,"已交稿")))</formula>
    </cfRule>
    <cfRule type="expression" dxfId="3" priority="92">
      <formula>AND(COUNTA(E4),DATEDIF(TODAY(),E4,"d")&lt;8,NOT(COUNTIF(L4,"已交稿")))</formula>
    </cfRule>
  </conditionalFormatting>
  <conditionalFormatting sqref="G26:G1048576 H4:H18">
    <cfRule type="expression" dxfId="0" priority="85">
      <formula>COUNTIF(L4,"已交稿")</formula>
    </cfRule>
  </conditionalFormatting>
  <conditionalFormatting sqref="H26:H1048576 I4:I18">
    <cfRule type="expression" dxfId="0" priority="84">
      <formula>COUNTIF(L4,"已交稿")</formula>
    </cfRule>
  </conditionalFormatting>
  <conditionalFormatting sqref="I26:I1048576 J4:J18">
    <cfRule type="expression" dxfId="0" priority="80">
      <formula>COUNTIF(L4,"已交稿")</formula>
    </cfRule>
  </conditionalFormatting>
  <conditionalFormatting sqref="J25:J1048576 K4:K23">
    <cfRule type="expression" dxfId="0" priority="83">
      <formula>COUNTIF(L4,"已交稿")</formula>
    </cfRule>
  </conditionalFormatting>
  <conditionalFormatting sqref="K25:K1048576 L4:L23">
    <cfRule type="expression" dxfId="0" priority="82">
      <formula>COUNTIF(L4,"已交稿")</formula>
    </cfRule>
  </conditionalFormatting>
  <conditionalFormatting sqref="L25:L1048576 M4:M18">
    <cfRule type="expression" dxfId="0" priority="81">
      <formula>COUNTIF(L4,"已交稿")</formula>
    </cfRule>
  </conditionalFormatting>
  <dataValidations count="7">
    <dataValidation type="list" allowBlank="1" showInputMessage="1" showErrorMessage="1" sqref="D2 D3 D8 D11 C26:C1048576 D4:D7 D9:D10 D12:D18 D19:D23">
      <formula1>附表!$B$3:$B$11</formula1>
    </dataValidation>
    <dataValidation type="list" allowBlank="1" showInputMessage="1" showErrorMessage="1" sqref="I2 I3 I11 I12 H25:H1048576 I4:I8 I9:I10 I13:I18 I19:I23">
      <formula1>"-,男,女,无性,其他"</formula1>
    </dataValidation>
    <dataValidation allowBlank="1" showInputMessage="1" showErrorMessage="1" sqref="C25 J2:J3"/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附表!$D$3:$D$11</formula1>
    </dataValidation>
    <dataValidation type="list" allowBlank="1" showInputMessage="1" showErrorMessage="1" sqref="L25:L1048576">
      <formula1>"-,绘制中,已交稿,清空"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H25:H1048576 C26:C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L11"/>
  <sheetViews>
    <sheetView showGridLines="0" workbookViewId="0">
      <selection activeCell="B3" sqref="B3"/>
    </sheetView>
  </sheetViews>
  <sheetFormatPr defaultColWidth="9" defaultRowHeight="22" customHeight="1"/>
  <cols>
    <col min="1" max="1" width="10.8181818181818" style="2" customWidth="1"/>
    <col min="2" max="2" width="19.3636363636364" style="2" customWidth="1"/>
    <col min="3" max="3" width="5.63636363636364" style="2" customWidth="1"/>
    <col min="4" max="4" width="18.7272727272727" style="2" customWidth="1"/>
    <col min="5" max="5" width="9" style="2"/>
    <col min="6" max="7" width="9.54545454545454" style="2" customWidth="1"/>
    <col min="8" max="8" width="9.72727272727273" style="2" customWidth="1"/>
    <col min="9" max="16384" width="9" style="2"/>
  </cols>
  <sheetData>
    <row r="1" ht="41" customHeight="1" spans="3:3">
      <c r="C1" s="19"/>
    </row>
    <row r="2" ht="34" customHeight="1" spans="2:8">
      <c r="B2" s="20" t="s">
        <v>46</v>
      </c>
      <c r="C2" s="21"/>
      <c r="D2" s="20" t="s">
        <v>47</v>
      </c>
      <c r="F2" s="19"/>
      <c r="G2" s="21"/>
      <c r="H2" s="21"/>
    </row>
    <row r="3" customHeight="1" spans="2:6">
      <c r="B3" s="22" t="s">
        <v>15</v>
      </c>
      <c r="C3" s="23"/>
      <c r="D3" s="22" t="s">
        <v>18</v>
      </c>
      <c r="F3" s="2" t="s">
        <v>48</v>
      </c>
    </row>
    <row r="4" customHeight="1" spans="2:12">
      <c r="B4" s="22" t="s">
        <v>28</v>
      </c>
      <c r="C4" s="23"/>
      <c r="D4" s="22" t="s">
        <v>49</v>
      </c>
      <c r="F4" s="24" t="s">
        <v>50</v>
      </c>
      <c r="G4" s="24"/>
      <c r="H4" s="24"/>
      <c r="I4" s="24"/>
      <c r="J4" s="24"/>
      <c r="K4" s="24"/>
      <c r="L4" s="24"/>
    </row>
    <row r="5" customHeight="1" spans="2:8">
      <c r="B5" s="22"/>
      <c r="C5" s="23"/>
      <c r="D5" s="22" t="s">
        <v>51</v>
      </c>
      <c r="F5" s="23"/>
      <c r="G5" s="23"/>
      <c r="H5" s="23"/>
    </row>
    <row r="6" customHeight="1" spans="2:8">
      <c r="B6" s="22"/>
      <c r="C6" s="23"/>
      <c r="D6" s="22" t="s">
        <v>35</v>
      </c>
      <c r="F6" s="23"/>
      <c r="G6" s="23"/>
      <c r="H6" s="23"/>
    </row>
    <row r="7" customHeight="1" spans="2:8">
      <c r="B7" s="22"/>
      <c r="C7" s="23"/>
      <c r="D7" s="22" t="s">
        <v>25</v>
      </c>
      <c r="F7" s="23"/>
      <c r="G7" s="23"/>
      <c r="H7" s="23"/>
    </row>
    <row r="8" customHeight="1" spans="2:8">
      <c r="B8" s="25"/>
      <c r="C8" s="19"/>
      <c r="D8" s="22" t="s">
        <v>30</v>
      </c>
      <c r="F8" s="19"/>
      <c r="G8" s="19"/>
      <c r="H8" s="19"/>
    </row>
    <row r="9" customHeight="1" spans="2:4">
      <c r="B9" s="25"/>
      <c r="C9" s="19"/>
      <c r="D9" s="22" t="s">
        <v>52</v>
      </c>
    </row>
    <row r="10" customHeight="1" spans="2:4">
      <c r="B10" s="25"/>
      <c r="D10" s="22" t="s">
        <v>33</v>
      </c>
    </row>
    <row r="11" customHeight="1" spans="2:4">
      <c r="B11" s="25"/>
      <c r="D11" s="22"/>
    </row>
  </sheetData>
  <sheetProtection sheet="1" selectLockedCells="1" objects="1"/>
  <mergeCells count="1">
    <mergeCell ref="F4:J4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10"/>
  <sheetViews>
    <sheetView showGridLines="0" tabSelected="1" workbookViewId="0">
      <pane ySplit="2" topLeftCell="A3" activePane="bottomLeft" state="frozen"/>
      <selection/>
      <selection pane="bottomLeft" activeCell="I3" sqref="I3"/>
    </sheetView>
  </sheetViews>
  <sheetFormatPr defaultColWidth="9" defaultRowHeight="19" customHeight="1"/>
  <cols>
    <col min="1" max="1" width="5.45454545454545" style="2" customWidth="1"/>
    <col min="2" max="2" width="8" style="3" customWidth="1"/>
    <col min="3" max="3" width="15" style="4" customWidth="1"/>
    <col min="4" max="4" width="7.75454545454545" style="4" customWidth="1"/>
    <col min="5" max="5" width="12.1818181818182" style="5" customWidth="1"/>
    <col min="6" max="6" width="12.3636363636364" style="5" customWidth="1"/>
    <col min="7" max="7" width="12.2727272727273" style="6" customWidth="1"/>
    <col min="8" max="8" width="8" style="4" customWidth="1"/>
    <col min="9" max="9" width="13.2545454545455" style="4" customWidth="1"/>
    <col min="10" max="10" width="12.7272727272727" style="7" customWidth="1"/>
    <col min="11" max="11" width="33.2545454545455" style="4" customWidth="1"/>
    <col min="12" max="12" width="13.2727272727273" style="2" customWidth="1"/>
    <col min="13" max="13" width="17.0909090909091" style="2" customWidth="1"/>
    <col min="14" max="16384" width="9" style="2"/>
  </cols>
  <sheetData>
    <row r="1" s="1" customFormat="1" ht="23" customHeight="1" spans="2:11">
      <c r="B1" s="8"/>
      <c r="C1" s="8"/>
      <c r="D1" s="8"/>
      <c r="E1" s="8"/>
      <c r="F1" s="8"/>
      <c r="G1" s="8"/>
      <c r="H1" s="8"/>
      <c r="I1" s="8"/>
      <c r="J1" s="8"/>
      <c r="K1" s="8"/>
    </row>
    <row r="2" ht="38" customHeight="1" spans="2:13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1" t="s">
        <v>53</v>
      </c>
      <c r="H2" s="10" t="s">
        <v>8</v>
      </c>
      <c r="I2" s="10" t="s">
        <v>54</v>
      </c>
      <c r="J2" s="14" t="s">
        <v>10</v>
      </c>
      <c r="K2" s="14" t="s">
        <v>55</v>
      </c>
      <c r="L2" s="15" t="s">
        <v>56</v>
      </c>
      <c r="M2" s="16">
        <f>SUM(J:J)</f>
        <v>0</v>
      </c>
    </row>
    <row r="3" customHeight="1" spans="2:10">
      <c r="B3" s="12"/>
      <c r="J3" s="17"/>
    </row>
    <row r="4" customHeight="1" spans="5:6">
      <c r="E4" s="13"/>
      <c r="F4" s="13"/>
    </row>
    <row r="5" customHeight="1" spans="5:6">
      <c r="E5" s="13"/>
      <c r="F5" s="13"/>
    </row>
    <row r="6" customHeight="1" spans="10:10">
      <c r="J6" s="18"/>
    </row>
    <row r="7" customHeight="1" spans="10:10">
      <c r="J7" s="18"/>
    </row>
    <row r="8" customHeight="1" spans="10:10">
      <c r="J8" s="18"/>
    </row>
    <row r="9" customHeight="1" spans="10:10">
      <c r="J9" s="18"/>
    </row>
    <row r="10" customHeight="1" spans="10:10">
      <c r="J10" s="18"/>
    </row>
  </sheetData>
  <sheetProtection selectLockedCells="1" insertHyperlinks="0"/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LoGic</cp:lastModifiedBy>
  <dcterms:created xsi:type="dcterms:W3CDTF">2023-06-06T04:36:00Z</dcterms:created>
  <dcterms:modified xsi:type="dcterms:W3CDTF">2024-05-17T14:44:33Z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87529B5542114EB9870405BAF6669596_13</vt:lpwstr>
  </property>
  <property fmtid="{D5CDD505-2E9C-101B-9397-08002B2CF9AE}" pid="3" name="KSOProductBuildVer">
    <vt:lpwstr>2052-12.1.0.16729</vt:lpwstr>
  </property>
</Properties>
</file>