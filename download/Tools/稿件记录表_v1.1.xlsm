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lockStructure="1"/>
  <bookViews>
    <workbookView windowWidth="25600" windowHeight="12080"/>
  </bookViews>
  <sheets>
    <sheet name="主表" sheetId="1" r:id="rId1"/>
    <sheet name="附表" sheetId="2" r:id="rId2"/>
    <sheet name="归档" sheetId="3" r:id="rId3"/>
  </sheets>
  <definedNames>
    <definedName name="_xlnm._FilterDatabase" localSheetId="2" hidden="1">归档!$C$2:$I$8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2D5E0BBC8BF34D37BE38EE06177C2B61" descr="889FF73E1A3B500A75ACCFF9476CB28E"/>
        <xdr:cNvPicPr/>
      </xdr:nvPicPr>
      <xdr:blipFill>
        <a:blip r:embed="rId1"/>
        <a:stretch>
          <a:fillRect/>
        </a:stretch>
      </xdr:blipFill>
      <xdr:spPr>
        <a:xfrm>
          <a:off x="0" y="0"/>
          <a:ext cx="2413000" cy="28575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<sst xmlns="http://schemas.openxmlformats.org/spreadsheetml/2006/main" count="94" uniqueCount="69">
  <si>
    <t>序号</t>
  </si>
  <si>
    <t>稿主</t>
  </si>
  <si>
    <t>平台</t>
  </si>
  <si>
    <t>接稿日期</t>
  </si>
  <si>
    <t>截稿日期</t>
  </si>
  <si>
    <t>死线</t>
  </si>
  <si>
    <t>原设</t>
  </si>
  <si>
    <t>性别</t>
  </si>
  <si>
    <t>规格</t>
  </si>
  <si>
    <t>注意事项</t>
  </si>
  <si>
    <t>稿酬</t>
  </si>
  <si>
    <t>完成情况</t>
  </si>
  <si>
    <t>待完成</t>
  </si>
  <si>
    <t>附表</t>
  </si>
  <si>
    <t>原木HARAKII</t>
  </si>
  <si>
    <t>QQ</t>
  </si>
  <si>
    <t>PNG</t>
  </si>
  <si>
    <t>-</t>
  </si>
  <si>
    <t>胸像</t>
  </si>
  <si>
    <t>自由发挥</t>
  </si>
  <si>
    <t>附表为设置项，用于自定义
各栏的下拉菜单。</t>
  </si>
  <si>
    <t>加入图片</t>
  </si>
  <si>
    <t>这表竟然</t>
  </si>
  <si>
    <t>男</t>
  </si>
  <si>
    <t>头像</t>
  </si>
  <si>
    <t>需要参考例图动作</t>
  </si>
  <si>
    <t>等待</t>
  </si>
  <si>
    <r>
      <rPr>
        <sz val="11"/>
        <color theme="1"/>
        <rFont val="宋体"/>
        <charset val="134"/>
        <scheme val="minor"/>
      </rPr>
      <t>使用 WPS 的</t>
    </r>
    <r>
      <rPr>
        <b/>
        <sz val="11"/>
        <color theme="1"/>
        <rFont val="宋体"/>
        <charset val="134"/>
        <scheme val="minor"/>
      </rPr>
      <t>超链接-附件</t>
    </r>
    <r>
      <rPr>
        <sz val="11"/>
        <color theme="1"/>
        <rFont val="宋体"/>
        <charset val="134"/>
        <scheme val="minor"/>
      </rPr>
      <t>功能可以在表格（原设栏）中加入图片或文件的跳转链接</t>
    </r>
  </si>
  <si>
    <t>更新</t>
  </si>
  <si>
    <t>微信</t>
  </si>
  <si>
    <t>女</t>
  </si>
  <si>
    <t>半身</t>
  </si>
  <si>
    <t>需要参考例图表情</t>
  </si>
  <si>
    <t>绘制中</t>
  </si>
  <si>
    <t>1.1了</t>
  </si>
  <si>
    <t>其他</t>
  </si>
  <si>
    <t>3/4立绘</t>
  </si>
  <si>
    <t>归档</t>
  </si>
  <si>
    <t>!</t>
  </si>
  <si>
    <t>无性</t>
  </si>
  <si>
    <t>立绘</t>
  </si>
  <si>
    <t>已交稿</t>
  </si>
  <si>
    <r>
      <rPr>
        <sz val="11"/>
        <color theme="1"/>
        <rFont val="宋体"/>
        <charset val="134"/>
        <scheme val="minor"/>
      </rPr>
      <t>使用</t>
    </r>
    <r>
      <rPr>
        <b/>
        <sz val="11"/>
        <color theme="1"/>
        <rFont val="宋体"/>
        <charset val="134"/>
        <scheme val="minor"/>
      </rPr>
      <t>归档</t>
    </r>
    <r>
      <rPr>
        <sz val="11"/>
        <color theme="1"/>
        <rFont val="宋体"/>
        <charset val="134"/>
        <scheme val="minor"/>
      </rPr>
      <t>按钮将</t>
    </r>
    <r>
      <rPr>
        <b/>
        <sz val="11"/>
        <color theme="1"/>
        <rFont val="宋体"/>
        <charset val="134"/>
        <scheme val="minor"/>
      </rPr>
      <t>已完成</t>
    </r>
    <r>
      <rPr>
        <sz val="11"/>
        <color theme="1"/>
        <rFont val="宋体"/>
        <charset val="134"/>
        <scheme val="minor"/>
      </rPr>
      <t>的稿件整理至归档表格中。使用该功能需要启用宏。</t>
    </r>
  </si>
  <si>
    <t>更新日志 v1.1</t>
  </si>
  <si>
    <r>
      <t>自动归档的同时会将列表项按照</t>
    </r>
    <r>
      <rPr>
        <b/>
        <sz val="11"/>
        <color theme="1"/>
        <rFont val="宋体"/>
        <charset val="134"/>
        <scheme val="minor"/>
      </rPr>
      <t>截稿</t>
    </r>
    <r>
      <rPr>
        <sz val="11"/>
        <color theme="1"/>
        <rFont val="宋体"/>
        <charset val="134"/>
        <scheme val="minor"/>
      </rPr>
      <t>日期</t>
    </r>
    <r>
      <rPr>
        <b/>
        <sz val="11"/>
        <color theme="1"/>
        <rFont val="宋体"/>
        <charset val="134"/>
        <scheme val="minor"/>
      </rPr>
      <t>重新排序</t>
    </r>
  </si>
  <si>
    <t>启用宏</t>
  </si>
  <si>
    <r>
      <rPr>
        <b/>
        <sz val="11"/>
        <color theme="1"/>
        <rFont val="宋体"/>
        <charset val="134"/>
        <scheme val="minor"/>
      </rPr>
      <t>宏</t>
    </r>
    <r>
      <rPr>
        <sz val="11"/>
        <color theme="1"/>
        <rFont val="宋体"/>
        <charset val="134"/>
        <scheme val="minor"/>
      </rPr>
      <t>是 WPS Office 为二次开发者设计的编写和编辑 JavaScript/VBA 代码调用或是扩展 WPS 功能的程序。</t>
    </r>
  </si>
  <si>
    <t>增加成稿时自动记录日期的功能（在归档表内查看）</t>
  </si>
  <si>
    <r>
      <rPr>
        <sz val="11"/>
        <color theme="1"/>
        <rFont val="宋体"/>
        <charset val="134"/>
        <scheme val="minor"/>
      </rPr>
      <t>它在为 WPS 文件提供了强大拓展功能的同时，也存在一定的</t>
    </r>
    <r>
      <rPr>
        <b/>
        <sz val="11"/>
        <color theme="1"/>
        <rFont val="宋体"/>
        <charset val="134"/>
        <scheme val="minor"/>
      </rPr>
      <t>安全风险</t>
    </r>
    <r>
      <rPr>
        <sz val="11"/>
        <color theme="1"/>
        <rFont val="宋体"/>
        <charset val="134"/>
        <scheme val="minor"/>
      </rPr>
      <t>。</t>
    </r>
  </si>
  <si>
    <r>
      <t>添加</t>
    </r>
    <r>
      <rPr>
        <b/>
        <sz val="11"/>
        <color theme="1"/>
        <rFont val="宋体"/>
        <charset val="134"/>
        <scheme val="minor"/>
      </rPr>
      <t>注意事项</t>
    </r>
    <r>
      <rPr>
        <sz val="11"/>
        <color theme="1"/>
        <rFont val="宋体"/>
        <charset val="134"/>
        <scheme val="minor"/>
      </rPr>
      <t>栏的自定义下拉菜单，增加可用自定义的数量</t>
    </r>
  </si>
  <si>
    <r>
      <rPr>
        <sz val="11"/>
        <color theme="1"/>
        <rFont val="宋体"/>
        <charset val="134"/>
        <scheme val="minor"/>
      </rPr>
      <t>本表的</t>
    </r>
    <r>
      <rPr>
        <b/>
        <sz val="11"/>
        <color theme="1"/>
        <rFont val="宋体"/>
        <charset val="134"/>
        <scheme val="minor"/>
      </rPr>
      <t>部分自动化功能使用 JS 宏实现</t>
    </r>
    <r>
      <rPr>
        <sz val="11"/>
        <color theme="1"/>
        <rFont val="宋体"/>
        <charset val="134"/>
        <scheme val="minor"/>
      </rPr>
      <t>，启用宏（自动归档的相关功能）代表您已经</t>
    </r>
    <r>
      <rPr>
        <b/>
        <sz val="11"/>
        <color theme="1"/>
        <rFont val="宋体"/>
        <charset val="134"/>
        <scheme val="minor"/>
      </rPr>
      <t>悉知 JS 宏的特性</t>
    </r>
    <r>
      <rPr>
        <sz val="11"/>
        <color theme="1"/>
        <rFont val="宋体"/>
        <charset val="134"/>
        <scheme val="minor"/>
      </rPr>
      <t>，并选择相信作为代码作者的我（原木）。</t>
    </r>
  </si>
  <si>
    <t>添加一些信息，修改部分文本、排版以及表格上的小问题</t>
  </si>
  <si>
    <t>一般情况下，启用宏只需在打开文件时选择确认一次启用即可，WPS (16729版本) 的宏提示如下图所示。</t>
  </si>
  <si>
    <t>制表：原木HARAKII</t>
  </si>
  <si>
    <t>更新于：https://haiira.github.io/myBlogIT/</t>
  </si>
  <si>
    <t>Version 1.1</t>
  </si>
  <si>
    <t>harakii@foxmail.com</t>
  </si>
  <si>
    <t>下拉菜单设置</t>
  </si>
  <si>
    <t>此表用于填写您希望拥有的下拉菜单选项</t>
  </si>
  <si>
    <t>接稿平台</t>
  </si>
  <si>
    <t>稿件规格</t>
  </si>
  <si>
    <t>注意事项（预设）</t>
  </si>
  <si>
    <t>插图</t>
  </si>
  <si>
    <t>草稿</t>
  </si>
  <si>
    <t>QQ人</t>
  </si>
  <si>
    <t>成稿日期</t>
  </si>
  <si>
    <t>稿件</t>
  </si>
  <si>
    <t>备注</t>
  </si>
  <si>
    <t>总计稿酬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</si>
</sst>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7" formatCode="&quot;￥&quot;#,##0.00;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/d;@"/>
    <numFmt numFmtId="178" formatCode="#,##0.00_ "/>
    <numFmt numFmtId="179" formatCode="yy/m/d;@"/>
    <numFmt numFmtId="180" formatCode="0.00_ "/>
    <numFmt numFmtId="181" formatCode="[$-409]h&quot;时&quot;mm&quot;分&quot;ss&quot;秒&quot;_ AM/PM;@"/>
  </numFmts>
  <fonts count="34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name val="宋体"/>
      <charset val="134"/>
      <scheme val="minor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theme="1"/>
      <name val="楷体"/>
      <charset val="134"/>
    </font>
    <font>
      <sz val="11"/>
      <name val="微软雅黑"/>
      <charset val="134"/>
    </font>
    <font>
      <sz val="11"/>
      <color rgb="FF7030A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微软雅黑"/>
      <charset val="134"/>
    </font>
    <font>
      <sz val="11"/>
      <color rgb="FF7030A0"/>
      <name val="宋体"/>
      <charset val="0"/>
      <scheme val="minor"/>
    </font>
    <font>
      <u/>
      <sz val="11"/>
      <color rgb="FF7030A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微软雅黑"/>
      <charset val="134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4"/>
        <bgColor indexed="64"/>
      </patternFill>
    </fill>
    <fill>
      <patternFill patternType="solid">
        <fgColor rgb="FFC9D7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4" borderId="15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6" applyNumberFormat="0" applyFill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5" borderId="18" applyNumberFormat="0" applyAlignment="0" applyProtection="0">
      <alignment vertical="center"/>
    </xf>
    <xf numFmtId="0" fontId="24" fillId="6" borderId="19" applyNumberFormat="0" applyAlignment="0" applyProtection="0">
      <alignment vertical="center"/>
    </xf>
    <xf numFmtId="0" fontId="25" fillId="6" borderId="18" applyNumberFormat="0" applyAlignment="0" applyProtection="0">
      <alignment vertical="center"/>
    </xf>
    <xf numFmtId="0" fontId="26" fillId="7" borderId="20" applyNumberFormat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 applyProtection="1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</xf>
    <xf numFmtId="179" fontId="1" fillId="2" borderId="1" xfId="0" applyNumberFormat="1" applyFont="1" applyFill="1" applyBorder="1" applyAlignment="1" applyProtection="1">
      <alignment horizontal="center" vertical="center"/>
    </xf>
    <xf numFmtId="178" fontId="3" fillId="3" borderId="2" xfId="0" applyNumberFormat="1" applyFont="1" applyFill="1" applyBorder="1" applyAlignment="1" applyProtection="1">
      <alignment horizontal="center" vertical="center"/>
    </xf>
    <xf numFmtId="178" fontId="4" fillId="3" borderId="2" xfId="0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 applyProtection="1">
      <alignment vertical="center" wrapText="1"/>
    </xf>
    <xf numFmtId="0" fontId="3" fillId="3" borderId="2" xfId="0" applyNumberFormat="1" applyFont="1" applyFill="1" applyBorder="1" applyAlignment="1" applyProtection="1">
      <alignment horizontal="center" vertical="center" wrapText="1"/>
    </xf>
    <xf numFmtId="178" fontId="3" fillId="3" borderId="2" xfId="0" applyNumberFormat="1" applyFont="1" applyFill="1" applyBorder="1" applyAlignment="1" applyProtection="1">
      <alignment horizontal="center" vertical="center" wrapText="1"/>
    </xf>
    <xf numFmtId="178" fontId="1" fillId="2" borderId="1" xfId="0" applyNumberFormat="1" applyFont="1" applyFill="1" applyBorder="1" applyAlignment="1" applyProtection="1">
      <alignment horizontal="center" vertical="center"/>
    </xf>
    <xf numFmtId="7" fontId="5" fillId="0" borderId="1" xfId="0" applyNumberFormat="1" applyFont="1" applyFill="1" applyBorder="1" applyAlignment="1" applyProtection="1">
      <alignment horizontal="left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Protection="1">
      <alignment vertical="center"/>
    </xf>
    <xf numFmtId="0" fontId="4" fillId="0" borderId="0" xfId="0" applyFont="1" applyFill="1" applyBorder="1" applyAlignment="1" applyProtection="1">
      <alignment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4" fillId="3" borderId="3" xfId="0" applyNumberFormat="1" applyFont="1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1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80" fontId="0" fillId="0" borderId="0" xfId="0" applyNumberFormat="1" applyBorder="1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179" fontId="3" fillId="3" borderId="4" xfId="0" applyNumberFormat="1" applyFont="1" applyFill="1" applyBorder="1" applyAlignment="1" applyProtection="1">
      <alignment horizontal="center" vertical="center"/>
    </xf>
    <xf numFmtId="179" fontId="3" fillId="3" borderId="5" xfId="0" applyNumberFormat="1" applyFont="1" applyFill="1" applyBorder="1" applyAlignment="1" applyProtection="1">
      <alignment horizontal="center" vertical="center"/>
    </xf>
    <xf numFmtId="179" fontId="3" fillId="3" borderId="6" xfId="0" applyNumberFormat="1" applyFont="1" applyFill="1" applyBorder="1" applyAlignment="1" applyProtection="1">
      <alignment horizontal="center" vertical="center"/>
    </xf>
    <xf numFmtId="0" fontId="3" fillId="3" borderId="5" xfId="0" applyNumberFormat="1" applyFont="1" applyFill="1" applyBorder="1" applyAlignment="1" applyProtection="1">
      <alignment horizontal="center" vertical="center"/>
    </xf>
    <xf numFmtId="179" fontId="3" fillId="3" borderId="3" xfId="0" applyNumberFormat="1" applyFont="1" applyFill="1" applyBorder="1" applyAlignment="1" applyProtection="1">
      <alignment horizontal="center" vertical="center"/>
    </xf>
    <xf numFmtId="179" fontId="3" fillId="3" borderId="7" xfId="0" applyNumberFormat="1" applyFont="1" applyFill="1" applyBorder="1" applyAlignment="1" applyProtection="1">
      <alignment horizontal="center" vertical="center"/>
    </xf>
    <xf numFmtId="179" fontId="3" fillId="3" borderId="8" xfId="0" applyNumberFormat="1" applyFont="1" applyFill="1" applyBorder="1" applyAlignment="1" applyProtection="1">
      <alignment horizontal="center" vertical="center"/>
    </xf>
    <xf numFmtId="0" fontId="3" fillId="3" borderId="7" xfId="0" applyNumberFormat="1" applyFont="1" applyFill="1" applyBorder="1" applyAlignment="1" applyProtection="1">
      <alignment horizontal="center" vertical="center"/>
    </xf>
    <xf numFmtId="177" fontId="1" fillId="0" borderId="0" xfId="0" applyNumberFormat="1" applyFont="1" applyProtection="1">
      <alignment vertical="center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 wrapText="1"/>
    </xf>
    <xf numFmtId="0" fontId="11" fillId="0" borderId="9" xfId="6" applyNumberFormat="1" applyFont="1" applyFill="1" applyBorder="1" applyAlignment="1" applyProtection="1">
      <alignment horizontal="center" vertical="center" wrapText="1"/>
      <protection locked="0"/>
    </xf>
    <xf numFmtId="17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13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8" fillId="0" borderId="9" xfId="0" applyNumberFormat="1" applyFont="1" applyFill="1" applyBorder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79" fontId="3" fillId="3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181" fontId="9" fillId="0" borderId="0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15" fillId="0" borderId="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 vertical="top" wrapText="1"/>
    </xf>
    <xf numFmtId="0" fontId="0" fillId="0" borderId="13" xfId="0" applyFont="1" applyBorder="1" applyAlignment="1" applyProtection="1">
      <alignment horizontal="center" vertical="top" wrapText="1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6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0" fillId="0" borderId="13" xfId="0" applyFont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7" xfId="0" applyFont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6" xfId="0" applyFont="1" applyBorder="1" applyAlignment="1" applyProtection="1">
      <alignment horizontal="left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left" vertical="center" wrapText="1"/>
    </xf>
    <xf numFmtId="0" fontId="0" fillId="0" borderId="1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 vertical="top" wrapText="1"/>
    </xf>
    <xf numFmtId="0" fontId="0" fillId="0" borderId="14" xfId="0" applyFont="1" applyBorder="1" applyAlignment="1" applyProtection="1">
      <alignment horizontal="center" vertical="top" wrapText="1"/>
    </xf>
    <xf numFmtId="0" fontId="0" fillId="0" borderId="8" xfId="0" applyFont="1" applyBorder="1" applyAlignment="1" applyProtection="1">
      <alignment horizontal="center" vertical="top" wrapText="1"/>
    </xf>
    <xf numFmtId="0" fontId="0" fillId="0" borderId="7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strike val="1"/>
        <color theme="2" tint="-0.25"/>
      </font>
      <fill>
        <patternFill patternType="solid">
          <bgColor theme="2"/>
        </patternFill>
      </fill>
    </dxf>
    <dxf>
      <font>
        <strike val="1"/>
        <color theme="2" tint="-0.25"/>
      </font>
      <numFmt numFmtId="0" formatCode="General"/>
      <fill>
        <patternFill patternType="solid">
          <bgColor theme="2"/>
        </patternFill>
      </fill>
    </dxf>
    <dxf>
      <font>
        <b val="1"/>
        <i val="0"/>
        <color rgb="FF940000"/>
      </font>
      <fill>
        <patternFill patternType="solid">
          <bgColor rgb="FFF0D3D3"/>
        </patternFill>
      </fill>
    </dxf>
    <dxf>
      <font>
        <b val="1"/>
        <i val="0"/>
        <color theme="7" tint="-0.5"/>
      </font>
      <fill>
        <patternFill patternType="solid">
          <bgColor theme="7" tint="0.8"/>
        </patternFill>
      </fill>
    </dxf>
    <dxf>
      <border>
        <left/>
        <right/>
        <top/>
        <bottom style="thin">
          <color auto="1"/>
        </bottom>
        <vertical/>
        <horizontal/>
      </border>
    </dxf>
    <dxf>
      <border>
        <left style="thin">
          <color auto="1"/>
        </left>
        <right/>
        <top/>
        <bottom style="thin">
          <color auto="1"/>
        </bottom>
        <vertical/>
        <horizontal/>
      </border>
    </dxf>
    <dxf>
      <border>
        <left/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/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bgColor rgb="FFC9D7EE"/>
        </patternFill>
      </fill>
      <border>
        <left/>
        <right/>
        <top/>
        <bottom style="thin">
          <color auto="1"/>
        </bottom>
        <vertical/>
        <horizontal/>
      </border>
    </dxf>
    <dxf>
      <fill>
        <patternFill patternType="solid">
          <bgColor rgb="FFF3F8F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蓝色" pivot="0" count="8" xr9:uid="{28E12E2E-CEDD-4A9A-86B0-BB2FDDA5A2A6}">
      <tableStyleElement type="wholeTable" dxfId="11"/>
      <tableStyleElement type="headerRow" dxfId="10"/>
      <tableStyleElement type="firstColumn" dxfId="9"/>
      <tableStyleElement type="lastColumn" dxfId="8"/>
      <tableStyleElement type="firstColumnStripe" dxfId="7"/>
      <tableStyleElement type="secondColumnStripe" size="2" dxfId="6"/>
      <tableStyleElement type="firstHeaderCell" dxfId="5"/>
      <tableStyleElement type="lastHeaderCell" dxfId="4"/>
    </tableStyle>
  </tableStyles>
  <colors>
    <mruColors>
      <color rgb="00940000"/>
      <color rgb="00E7F1FA"/>
      <color rgb="00E2E8F5"/>
      <color rgb="00EBC4C4"/>
      <color rgb="00F0D3D3"/>
      <color rgb="00F2F8FD"/>
      <color rgb="00F4F6FB"/>
      <color rgb="00F3F8FC"/>
      <color rgb="00C9D7E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3.png"/></Relationships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www.wps.cn/officeDocument/2020/cellImage" Target="cellimages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www.wps.cn/officeDocument/2020/jdeControlExtension" Target="../jdecontrols/jdecontrol2.xml"/><Relationship Id="rId3" Type="http://schemas.openxmlformats.org/officeDocument/2006/relationships/image" Target="../media/image2.png"/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1216025</xdr:colOff>
      <xdr:row>23</xdr:row>
      <xdr:rowOff>121285</xdr:rowOff>
    </xdr:from>
    <xdr:to>
      <xdr:col>13</xdr:col>
      <xdr:colOff>3810</xdr:colOff>
      <xdr:row>25</xdr:row>
      <xdr:rowOff>28575</xdr:rowOff>
    </xdr:to>
    <xdr:pic>
      <xdr:nvPicPr>
        <xdr:cNvPr id="3" name="CommandButton1"/>
        <xdr:cNvPicPr/>
      </xdr:nvPicPr>
      <xdr:blipFill>
        <a:blip r:embed="rId1"/>
        <a:stretch>
          <a:fillRect/>
        </a:stretch>
      </xdr:blipFill>
      <xdr:spPr>
        <a:xfrm>
          <a:off x="8472805" y="6496685"/>
          <a:ext cx="1580515" cy="3263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10</xdr:col>
      <xdr:colOff>150495</xdr:colOff>
      <xdr:row>24</xdr:row>
      <xdr:rowOff>19050</xdr:rowOff>
    </xdr:from>
    <xdr:to>
      <xdr:col>10</xdr:col>
      <xdr:colOff>1139190</xdr:colOff>
      <xdr:row>24</xdr:row>
      <xdr:rowOff>269240</xdr:rowOff>
    </xdr:to>
    <xdr:pic>
      <xdr:nvPicPr>
        <xdr:cNvPr id="2" name="CheckBox1"/>
        <xdr:cNvPicPr/>
      </xdr:nvPicPr>
      <xdr:blipFill>
        <a:blip r:embed="rId3"/>
        <a:stretch>
          <a:fillRect/>
        </a:stretch>
      </xdr:blipFill>
      <xdr:spPr>
        <a:xfrm>
          <a:off x="7407275" y="6534150"/>
          <a:ext cx="988695" cy="2501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归档</caption>
      <name>CommandButton1</name>
      <back_color>4292401368</back_color>
      <fore_color>4278190080</fore_color>
      <visible>true</visible>
      <back_style>false</back_style>
    </property>
    <property type="geometry">
      <left>8472805</left>
      <top>6496685</top>
      <width>1580515</width>
      <height>326390</height>
    </property>
    <property type="font">
      <font>
        <family>微软雅黑</family>
        <pointsize>10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heckbox">
    <property type="actions">
      <enabled>true</enabled>
      <word_wrap>true</word_wrap>
      <auto_size>false</auto_size>
    </property>
    <property type="data">
      <control_source/>
    </property>
    <property type="facade">
      <caption>归档同时排序</caption>
      <name>CheckBox1</name>
      <back_color>4292401368</back_color>
      <fore_color>4278190080</fore_color>
      <visible>true</visible>
      <back_style>false</back_style>
      <value>true</value>
    </property>
    <property type="geometry">
      <left>7407275</left>
      <top>6534150</top>
      <width>988695</width>
      <height>250190</height>
    </property>
    <property type="font">
      <font>
        <family>微软雅黑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26"/>
  <sheetViews>
    <sheetView showGridLines="0" tabSelected="1" workbookViewId="0">
      <selection activeCell="C4" sqref="C4"/>
    </sheetView>
  </sheetViews>
  <sheetFormatPr defaultColWidth="8.61818181818182" defaultRowHeight="22" customHeight="1"/>
  <cols>
    <col min="1" max="1" width="3.82727272727273" style="33" customWidth="1"/>
    <col min="2" max="2" width="5.75454545454545" style="34" customWidth="1"/>
    <col min="3" max="3" width="15" style="35" customWidth="1"/>
    <col min="4" max="4" width="9.12727272727273" style="35" customWidth="1"/>
    <col min="5" max="5" width="13.8727272727273" style="35" customWidth="1"/>
    <col min="6" max="6" width="13.2545454545455" style="36" customWidth="1"/>
    <col min="7" max="7" width="10.5" style="37" customWidth="1"/>
    <col min="8" max="8" width="14.5454545454545" style="34" customWidth="1"/>
    <col min="9" max="9" width="7.75454545454545" style="38" customWidth="1"/>
    <col min="10" max="10" width="10.2545454545455" style="38" customWidth="1"/>
    <col min="11" max="11" width="20.2727272727273" style="39" customWidth="1"/>
    <col min="12" max="12" width="10.2545454545455" style="36" customWidth="1"/>
    <col min="13" max="13" width="9.45454545454546" style="40" customWidth="1"/>
    <col min="14" max="14" width="5.18181818181818" style="34" customWidth="1"/>
    <col min="15" max="15" width="4.55454545454545" style="41" customWidth="1"/>
    <col min="16" max="16" width="9" style="40" customWidth="1"/>
    <col min="17" max="19" width="8.61818181818182" style="40"/>
    <col min="20" max="20" width="3.45454545454545" style="40" customWidth="1"/>
    <col min="21" max="21" width="9.90909090909091" style="40" customWidth="1"/>
    <col min="22" max="22" width="8.61818181818182" style="40"/>
    <col min="23" max="23" width="8.90909090909091" style="40" customWidth="1"/>
    <col min="24" max="16384" width="8.61818181818182" style="40"/>
  </cols>
  <sheetData>
    <row r="1" s="32" customFormat="1" ht="18" customHeight="1" spans="1:15">
      <c r="A1" s="42"/>
      <c r="N1" s="63"/>
      <c r="O1" s="64"/>
    </row>
    <row r="2" customHeight="1" spans="2:15">
      <c r="B2" s="10" t="s">
        <v>0</v>
      </c>
      <c r="C2" s="43" t="s">
        <v>1</v>
      </c>
      <c r="D2" s="44" t="s">
        <v>2</v>
      </c>
      <c r="E2" s="45" t="s">
        <v>3</v>
      </c>
      <c r="F2" s="44" t="s">
        <v>4</v>
      </c>
      <c r="G2" s="46" t="s">
        <v>5</v>
      </c>
      <c r="H2" s="45" t="s">
        <v>6</v>
      </c>
      <c r="I2" s="46" t="s">
        <v>7</v>
      </c>
      <c r="J2" s="45" t="s">
        <v>8</v>
      </c>
      <c r="K2" s="45" t="s">
        <v>9</v>
      </c>
      <c r="L2" s="46" t="s">
        <v>10</v>
      </c>
      <c r="M2" s="65" t="s">
        <v>11</v>
      </c>
      <c r="N2" s="65"/>
      <c r="O2" s="66"/>
    </row>
    <row r="3" customHeight="1" spans="2:19">
      <c r="B3" s="10"/>
      <c r="C3" s="47"/>
      <c r="D3" s="48"/>
      <c r="E3" s="49"/>
      <c r="F3" s="48"/>
      <c r="G3" s="50"/>
      <c r="H3" s="49"/>
      <c r="I3" s="50"/>
      <c r="J3" s="49"/>
      <c r="K3" s="49"/>
      <c r="L3" s="50"/>
      <c r="M3" s="65" t="s">
        <v>12</v>
      </c>
      <c r="N3" s="67">
        <f>COUNTIF(M:M,"等待")+COUNTIF(M:M,"绘制中")</f>
        <v>3</v>
      </c>
      <c r="P3" s="68" t="s">
        <v>13</v>
      </c>
      <c r="Q3" s="68"/>
      <c r="R3" s="68"/>
      <c r="S3" s="68"/>
    </row>
    <row r="4" customHeight="1" spans="1:23">
      <c r="A4" s="51">
        <v>45440</v>
      </c>
      <c r="B4" s="52">
        <v>1</v>
      </c>
      <c r="C4" s="53" t="s">
        <v>14</v>
      </c>
      <c r="D4" s="5" t="s">
        <v>15</v>
      </c>
      <c r="E4" s="54">
        <v>45413</v>
      </c>
      <c r="F4" s="55">
        <v>45463</v>
      </c>
      <c r="G4" s="56" t="str">
        <f ca="1" t="shared" ref="G4:G7" si="0">IF(OR(COUNTIF(F4,"-"),COUNTIF(F4,"")),"-",IF(DATEDIF(TODAY(),F4,"d")&lt;=0,IF(DATEDIF(TODAY(),F4,"d")=0,"今天！",IF(COUNTIF(M4,"已交稿"),"完成","逾期！")),CONCATENATE(DATEDIF(TODAY(),F4,"d"),"天")))</f>
        <v>23天</v>
      </c>
      <c r="H4" s="57" t="s">
        <v>16</v>
      </c>
      <c r="I4" s="69" t="s">
        <v>17</v>
      </c>
      <c r="J4" s="70" t="s">
        <v>18</v>
      </c>
      <c r="K4" s="71" t="s">
        <v>19</v>
      </c>
      <c r="L4" s="72">
        <v>10</v>
      </c>
      <c r="M4" s="53" t="s">
        <v>17</v>
      </c>
      <c r="N4" s="53"/>
      <c r="O4" s="73"/>
      <c r="P4" s="74" t="s">
        <v>20</v>
      </c>
      <c r="Q4" s="75"/>
      <c r="R4" s="75"/>
      <c r="S4" s="75"/>
      <c r="U4" s="82" t="s">
        <v>21</v>
      </c>
      <c r="V4" s="83"/>
      <c r="W4" s="84"/>
    </row>
    <row r="5" customHeight="1" spans="1:23">
      <c r="A5" s="51">
        <v>45440</v>
      </c>
      <c r="B5" s="52">
        <v>2</v>
      </c>
      <c r="C5" s="53" t="s">
        <v>22</v>
      </c>
      <c r="D5" s="58" t="s">
        <v>15</v>
      </c>
      <c r="E5" s="54">
        <v>45413</v>
      </c>
      <c r="F5" s="55">
        <v>45445</v>
      </c>
      <c r="G5" s="56" t="str">
        <f ca="1" t="shared" si="0"/>
        <v>5天</v>
      </c>
      <c r="H5" s="57" t="s">
        <v>16</v>
      </c>
      <c r="I5" s="69" t="s">
        <v>23</v>
      </c>
      <c r="J5" s="70" t="s">
        <v>24</v>
      </c>
      <c r="K5" s="71" t="s">
        <v>25</v>
      </c>
      <c r="L5" s="72">
        <v>10</v>
      </c>
      <c r="M5" s="53" t="s">
        <v>26</v>
      </c>
      <c r="N5" s="53"/>
      <c r="O5" s="73"/>
      <c r="P5" s="75"/>
      <c r="Q5" s="75"/>
      <c r="R5" s="75"/>
      <c r="S5" s="75"/>
      <c r="U5" s="85" t="s">
        <v>27</v>
      </c>
      <c r="V5" s="86"/>
      <c r="W5" s="87"/>
    </row>
    <row r="6" customHeight="1" spans="1:23">
      <c r="A6" s="51">
        <v>45440</v>
      </c>
      <c r="B6" s="52">
        <v>3</v>
      </c>
      <c r="C6" s="53" t="s">
        <v>28</v>
      </c>
      <c r="D6" s="58" t="s">
        <v>29</v>
      </c>
      <c r="E6" s="54">
        <v>45413</v>
      </c>
      <c r="F6" s="55">
        <v>45440</v>
      </c>
      <c r="G6" s="56" t="str">
        <f ca="1" t="shared" si="0"/>
        <v>今天！</v>
      </c>
      <c r="H6" s="57" t="s">
        <v>16</v>
      </c>
      <c r="I6" s="69" t="s">
        <v>30</v>
      </c>
      <c r="J6" s="70" t="s">
        <v>31</v>
      </c>
      <c r="K6" s="71" t="s">
        <v>32</v>
      </c>
      <c r="L6" s="72">
        <v>10</v>
      </c>
      <c r="M6" s="53" t="s">
        <v>33</v>
      </c>
      <c r="N6" s="53"/>
      <c r="O6" s="73"/>
      <c r="U6" s="88"/>
      <c r="V6" s="89"/>
      <c r="W6" s="90"/>
    </row>
    <row r="7" customHeight="1" spans="1:23">
      <c r="A7" s="51">
        <v>45440</v>
      </c>
      <c r="B7" s="52">
        <v>4</v>
      </c>
      <c r="C7" s="53" t="s">
        <v>34</v>
      </c>
      <c r="D7" s="58" t="s">
        <v>29</v>
      </c>
      <c r="E7" s="54">
        <v>45413</v>
      </c>
      <c r="F7" s="55">
        <v>45413</v>
      </c>
      <c r="G7" s="56" t="str">
        <f ca="1" t="shared" si="0"/>
        <v>逾期！</v>
      </c>
      <c r="H7" s="57" t="s">
        <v>16</v>
      </c>
      <c r="I7" s="69" t="s">
        <v>35</v>
      </c>
      <c r="J7" s="70" t="s">
        <v>36</v>
      </c>
      <c r="K7" s="71"/>
      <c r="L7" s="72">
        <v>10</v>
      </c>
      <c r="M7" s="53" t="s">
        <v>33</v>
      </c>
      <c r="N7" s="53"/>
      <c r="O7" s="73"/>
      <c r="P7" s="68" t="s">
        <v>37</v>
      </c>
      <c r="Q7" s="68"/>
      <c r="R7" s="68"/>
      <c r="S7" s="68"/>
      <c r="U7" s="91"/>
      <c r="V7" s="92"/>
      <c r="W7" s="93"/>
    </row>
    <row r="8" customHeight="1" spans="1:19">
      <c r="A8" s="51">
        <v>45440</v>
      </c>
      <c r="B8" s="52">
        <v>5</v>
      </c>
      <c r="C8" s="53" t="s">
        <v>38</v>
      </c>
      <c r="D8" s="58" t="s">
        <v>29</v>
      </c>
      <c r="E8" s="54">
        <v>45413</v>
      </c>
      <c r="F8" s="55">
        <v>45413</v>
      </c>
      <c r="G8" s="56" t="str">
        <f ca="1" t="shared" ref="G4:G11" si="1">IF(OR(COUNTIF(F8,"-"),COUNTIF(F8,"")),"-",IF(DATEDIF(TODAY(),F8,"d")&lt;=0,IF(DATEDIF(TODAY(),F8,"d")=0,"今天！",IF(COUNTIF(M8,"已交稿"),"完成","逾期！")),CONCATENATE(DATEDIF(TODAY(),F8,"d"),"天")))</f>
        <v>完成</v>
      </c>
      <c r="H8" s="57"/>
      <c r="I8" s="69" t="s">
        <v>39</v>
      </c>
      <c r="J8" s="70" t="s">
        <v>40</v>
      </c>
      <c r="K8" s="71"/>
      <c r="L8" s="72">
        <v>10</v>
      </c>
      <c r="M8" s="53" t="s">
        <v>41</v>
      </c>
      <c r="N8" s="53"/>
      <c r="O8" s="73"/>
      <c r="P8" s="76" t="s">
        <v>42</v>
      </c>
      <c r="Q8" s="77"/>
      <c r="R8" s="77"/>
      <c r="S8" s="77"/>
    </row>
    <row r="9" customHeight="1" spans="1:23">
      <c r="A9" s="51">
        <v>45440</v>
      </c>
      <c r="B9" s="52">
        <v>6</v>
      </c>
      <c r="C9" s="53"/>
      <c r="D9" s="58"/>
      <c r="E9" s="54"/>
      <c r="F9" s="55"/>
      <c r="G9" s="56" t="str">
        <f ca="1" t="shared" si="1"/>
        <v>-</v>
      </c>
      <c r="H9" s="59"/>
      <c r="I9" s="69"/>
      <c r="J9" s="70"/>
      <c r="K9" s="71"/>
      <c r="L9" s="72"/>
      <c r="M9" s="53"/>
      <c r="N9" s="53"/>
      <c r="O9" s="73"/>
      <c r="P9" s="77"/>
      <c r="Q9" s="77"/>
      <c r="R9" s="77"/>
      <c r="S9" s="77"/>
      <c r="U9" s="82" t="s">
        <v>43</v>
      </c>
      <c r="V9" s="83"/>
      <c r="W9" s="84"/>
    </row>
    <row r="10" customHeight="1" spans="1:23">
      <c r="A10" s="51"/>
      <c r="B10" s="52">
        <v>7</v>
      </c>
      <c r="C10" s="53"/>
      <c r="D10" s="58"/>
      <c r="E10" s="54"/>
      <c r="F10" s="55"/>
      <c r="G10" s="56" t="str">
        <f ca="1" t="shared" si="1"/>
        <v>-</v>
      </c>
      <c r="H10" s="59"/>
      <c r="I10" s="69"/>
      <c r="J10" s="70"/>
      <c r="K10" s="71"/>
      <c r="L10" s="72"/>
      <c r="M10" s="53"/>
      <c r="N10" s="53"/>
      <c r="O10" s="73"/>
      <c r="U10" s="94" t="s">
        <v>44</v>
      </c>
      <c r="V10" s="95"/>
      <c r="W10" s="96"/>
    </row>
    <row r="11" customHeight="1" spans="1:23">
      <c r="A11" s="51"/>
      <c r="B11" s="52">
        <v>8</v>
      </c>
      <c r="C11" s="53"/>
      <c r="D11" s="58"/>
      <c r="E11" s="54"/>
      <c r="F11" s="55"/>
      <c r="G11" s="56" t="str">
        <f ca="1" t="shared" si="1"/>
        <v>-</v>
      </c>
      <c r="H11" s="60"/>
      <c r="I11" s="69"/>
      <c r="J11" s="70"/>
      <c r="K11" s="71"/>
      <c r="L11" s="72"/>
      <c r="M11" s="53"/>
      <c r="N11" s="53"/>
      <c r="O11" s="73"/>
      <c r="P11" s="68" t="s">
        <v>45</v>
      </c>
      <c r="Q11" s="68"/>
      <c r="R11" s="68"/>
      <c r="S11" s="68"/>
      <c r="U11" s="97"/>
      <c r="V11" s="98"/>
      <c r="W11" s="99"/>
    </row>
    <row r="12" customHeight="1" spans="1:23">
      <c r="A12" s="51">
        <v>45440</v>
      </c>
      <c r="B12" s="52">
        <v>9</v>
      </c>
      <c r="C12" s="53"/>
      <c r="D12" s="58"/>
      <c r="E12" s="54"/>
      <c r="F12" s="55"/>
      <c r="G12" s="56" t="str">
        <f ca="1" t="shared" ref="G12:G23" si="2">IF(OR(COUNTIF(F12,"-"),COUNTIF(F12,"")),"-",IF(DATEDIF(TODAY(),F12,"d")&lt;=0,IF(DATEDIF(TODAY(),F12,"d")=0,"今天！",IF(COUNTIF(M12,"已交稿"),"完成","逾期！")),CONCATENATE(DATEDIF(TODAY(),F12,"d"),"天")))</f>
        <v>-</v>
      </c>
      <c r="H12" s="59"/>
      <c r="I12" s="69"/>
      <c r="J12" s="70"/>
      <c r="K12" s="71"/>
      <c r="L12" s="72"/>
      <c r="M12" s="53"/>
      <c r="N12" s="53"/>
      <c r="O12" s="73"/>
      <c r="P12" s="78" t="s">
        <v>46</v>
      </c>
      <c r="Q12" s="100"/>
      <c r="R12" s="100"/>
      <c r="S12" s="101"/>
      <c r="U12" s="102" t="s">
        <v>47</v>
      </c>
      <c r="V12" s="102"/>
      <c r="W12" s="102"/>
    </row>
    <row r="13" customHeight="1" spans="1:23">
      <c r="A13" s="51"/>
      <c r="B13" s="52">
        <v>10</v>
      </c>
      <c r="C13" s="53"/>
      <c r="D13" s="58"/>
      <c r="E13" s="54"/>
      <c r="F13" s="55"/>
      <c r="G13" s="56" t="str">
        <f ca="1" t="shared" si="2"/>
        <v>-</v>
      </c>
      <c r="H13" s="61"/>
      <c r="I13" s="69"/>
      <c r="J13" s="70"/>
      <c r="K13" s="71"/>
      <c r="L13" s="72"/>
      <c r="M13" s="53"/>
      <c r="N13" s="53"/>
      <c r="O13" s="73"/>
      <c r="P13" s="79"/>
      <c r="Q13" s="103"/>
      <c r="R13" s="103"/>
      <c r="S13" s="104"/>
      <c r="U13" s="102"/>
      <c r="V13" s="102"/>
      <c r="W13" s="102"/>
    </row>
    <row r="14" customHeight="1" spans="1:23">
      <c r="A14" s="51"/>
      <c r="B14" s="52">
        <v>11</v>
      </c>
      <c r="C14" s="53"/>
      <c r="D14" s="58"/>
      <c r="E14" s="54"/>
      <c r="F14" s="55"/>
      <c r="G14" s="56" t="str">
        <f ca="1" t="shared" si="2"/>
        <v>-</v>
      </c>
      <c r="H14" s="61"/>
      <c r="I14" s="69"/>
      <c r="J14" s="70"/>
      <c r="K14" s="71"/>
      <c r="L14" s="72"/>
      <c r="M14" s="53"/>
      <c r="N14" s="53"/>
      <c r="O14" s="73"/>
      <c r="P14" s="79" t="s">
        <v>48</v>
      </c>
      <c r="Q14" s="103"/>
      <c r="R14" s="103"/>
      <c r="S14" s="104"/>
      <c r="U14" s="76" t="s">
        <v>49</v>
      </c>
      <c r="V14" s="77"/>
      <c r="W14" s="77"/>
    </row>
    <row r="15" customHeight="1" spans="1:23">
      <c r="A15" s="51"/>
      <c r="B15" s="52">
        <v>12</v>
      </c>
      <c r="C15" s="53"/>
      <c r="D15" s="58"/>
      <c r="E15" s="54"/>
      <c r="F15" s="55"/>
      <c r="G15" s="56" t="str">
        <f ca="1" t="shared" si="2"/>
        <v>-</v>
      </c>
      <c r="H15" s="61"/>
      <c r="I15" s="69"/>
      <c r="J15" s="70"/>
      <c r="K15" s="71"/>
      <c r="L15" s="72"/>
      <c r="M15" s="53"/>
      <c r="N15" s="53"/>
      <c r="O15" s="73"/>
      <c r="P15" s="79"/>
      <c r="Q15" s="103"/>
      <c r="R15" s="103"/>
      <c r="S15" s="104"/>
      <c r="U15" s="77"/>
      <c r="V15" s="77"/>
      <c r="W15" s="77"/>
    </row>
    <row r="16" customHeight="1" spans="1:23">
      <c r="A16" s="51"/>
      <c r="B16" s="52">
        <v>13</v>
      </c>
      <c r="C16" s="53"/>
      <c r="D16" s="58"/>
      <c r="E16" s="54"/>
      <c r="F16" s="55"/>
      <c r="G16" s="56" t="str">
        <f ca="1" t="shared" si="2"/>
        <v>-</v>
      </c>
      <c r="H16" s="61"/>
      <c r="I16" s="69"/>
      <c r="J16" s="70"/>
      <c r="K16" s="71"/>
      <c r="L16" s="72"/>
      <c r="M16" s="53"/>
      <c r="N16" s="53"/>
      <c r="O16" s="73"/>
      <c r="P16" s="79" t="s">
        <v>50</v>
      </c>
      <c r="Q16" s="103"/>
      <c r="R16" s="103"/>
      <c r="S16" s="104"/>
      <c r="U16" s="77" t="s">
        <v>51</v>
      </c>
      <c r="V16" s="77"/>
      <c r="W16" s="77"/>
    </row>
    <row r="17" customHeight="1" spans="1:23">
      <c r="A17" s="51"/>
      <c r="B17" s="52">
        <v>14</v>
      </c>
      <c r="C17" s="53"/>
      <c r="D17" s="58"/>
      <c r="E17" s="54"/>
      <c r="F17" s="55"/>
      <c r="G17" s="56" t="str">
        <f ca="1" t="shared" si="2"/>
        <v>-</v>
      </c>
      <c r="H17" s="61"/>
      <c r="I17" s="69"/>
      <c r="J17" s="70"/>
      <c r="K17" s="71"/>
      <c r="L17" s="72"/>
      <c r="M17" s="53"/>
      <c r="N17" s="53"/>
      <c r="O17" s="73"/>
      <c r="P17" s="79"/>
      <c r="Q17" s="103"/>
      <c r="R17" s="103"/>
      <c r="S17" s="104"/>
      <c r="U17" s="77"/>
      <c r="V17" s="77"/>
      <c r="W17" s="77"/>
    </row>
    <row r="18" customHeight="1" spans="1:23">
      <c r="A18" s="51"/>
      <c r="B18" s="52">
        <v>15</v>
      </c>
      <c r="C18" s="53"/>
      <c r="D18" s="58"/>
      <c r="E18" s="54"/>
      <c r="F18" s="55"/>
      <c r="G18" s="56" t="str">
        <f ca="1" t="shared" si="2"/>
        <v>-</v>
      </c>
      <c r="H18" s="61"/>
      <c r="I18" s="69"/>
      <c r="J18" s="70"/>
      <c r="K18" s="71"/>
      <c r="L18" s="72"/>
      <c r="M18" s="53"/>
      <c r="N18" s="53"/>
      <c r="O18" s="73"/>
      <c r="P18" s="79"/>
      <c r="Q18" s="103"/>
      <c r="R18" s="103"/>
      <c r="S18" s="104"/>
      <c r="U18" s="34"/>
      <c r="V18" s="34"/>
      <c r="W18" s="34"/>
    </row>
    <row r="19" customHeight="1" spans="1:23">
      <c r="A19" s="51"/>
      <c r="B19" s="52">
        <v>16</v>
      </c>
      <c r="C19" s="53"/>
      <c r="D19" s="58"/>
      <c r="E19" s="54"/>
      <c r="F19" s="55"/>
      <c r="G19" s="56" t="str">
        <f ca="1" t="shared" si="2"/>
        <v>-</v>
      </c>
      <c r="H19" s="61"/>
      <c r="I19" s="69"/>
      <c r="J19" s="70"/>
      <c r="K19" s="71"/>
      <c r="L19" s="72"/>
      <c r="M19" s="53"/>
      <c r="N19" s="53"/>
      <c r="O19" s="73"/>
      <c r="P19" s="79" t="s">
        <v>52</v>
      </c>
      <c r="Q19" s="103"/>
      <c r="R19" s="103"/>
      <c r="S19" s="104"/>
      <c r="U19" s="34"/>
      <c r="V19" s="34"/>
      <c r="W19" s="34"/>
    </row>
    <row r="20" customHeight="1" spans="1:23">
      <c r="A20" s="51"/>
      <c r="B20" s="52">
        <v>17</v>
      </c>
      <c r="C20" s="53"/>
      <c r="D20" s="58"/>
      <c r="E20" s="54"/>
      <c r="F20" s="55"/>
      <c r="G20" s="56" t="str">
        <f ca="1" t="shared" si="2"/>
        <v>-</v>
      </c>
      <c r="H20" s="61"/>
      <c r="I20" s="69"/>
      <c r="J20" s="70"/>
      <c r="K20" s="71"/>
      <c r="L20" s="72"/>
      <c r="M20" s="53"/>
      <c r="N20" s="53"/>
      <c r="O20" s="73"/>
      <c r="P20" s="79"/>
      <c r="Q20" s="103"/>
      <c r="R20" s="103"/>
      <c r="S20" s="104"/>
      <c r="U20" s="34"/>
      <c r="V20" s="34"/>
      <c r="W20" s="34"/>
    </row>
    <row r="21" customHeight="1" spans="1:23">
      <c r="A21" s="51">
        <v>45440</v>
      </c>
      <c r="B21" s="52">
        <v>18</v>
      </c>
      <c r="C21" s="53"/>
      <c r="D21" s="58"/>
      <c r="E21" s="54"/>
      <c r="F21" s="55"/>
      <c r="G21" s="56" t="str">
        <f ca="1" t="shared" si="2"/>
        <v>-</v>
      </c>
      <c r="H21" s="61"/>
      <c r="I21" s="69"/>
      <c r="J21" s="70"/>
      <c r="K21" s="71"/>
      <c r="L21" s="72"/>
      <c r="M21" s="53"/>
      <c r="N21" s="53"/>
      <c r="O21" s="73"/>
      <c r="P21" s="80" t="str">
        <f>_xlfn.DISPIMG("ID_2D5E0BBC8BF34D37BE38EE06177C2B61",1)</f>
        <v>=DISPIMG("ID_2D5E0BBC8BF34D37BE38EE06177C2B61",1)</v>
      </c>
      <c r="Q21" s="105"/>
      <c r="R21" s="105"/>
      <c r="S21" s="106"/>
      <c r="U21" s="34"/>
      <c r="V21" s="34"/>
      <c r="W21" s="34"/>
    </row>
    <row r="22" customHeight="1" spans="1:19">
      <c r="A22" s="51">
        <v>45440</v>
      </c>
      <c r="B22" s="52">
        <v>19</v>
      </c>
      <c r="C22" s="53"/>
      <c r="D22" s="58"/>
      <c r="E22" s="54"/>
      <c r="F22" s="55"/>
      <c r="G22" s="56" t="str">
        <f ca="1" t="shared" si="2"/>
        <v>-</v>
      </c>
      <c r="H22" s="61"/>
      <c r="I22" s="69"/>
      <c r="J22" s="70"/>
      <c r="K22" s="71"/>
      <c r="L22" s="72"/>
      <c r="M22" s="53"/>
      <c r="N22" s="53"/>
      <c r="O22" s="73"/>
      <c r="P22" s="81"/>
      <c r="Q22" s="107"/>
      <c r="R22" s="107"/>
      <c r="S22" s="108"/>
    </row>
    <row r="23" customHeight="1" spans="1:15">
      <c r="A23" s="51">
        <v>45440</v>
      </c>
      <c r="B23" s="52">
        <v>20</v>
      </c>
      <c r="C23" s="53"/>
      <c r="D23" s="58"/>
      <c r="E23" s="54"/>
      <c r="F23" s="55"/>
      <c r="G23" s="56" t="str">
        <f ca="1" t="shared" si="2"/>
        <v>-</v>
      </c>
      <c r="H23" s="61"/>
      <c r="I23" s="69"/>
      <c r="J23" s="70"/>
      <c r="K23" s="71"/>
      <c r="L23" s="72"/>
      <c r="M23" s="53"/>
      <c r="N23" s="53"/>
      <c r="O23" s="73"/>
    </row>
    <row r="24" ht="11" customHeight="1"/>
    <row r="25" customHeight="1" spans="3:19">
      <c r="C25" s="62" t="s">
        <v>53</v>
      </c>
      <c r="D25" s="62"/>
      <c r="E25" s="62" t="s">
        <v>54</v>
      </c>
      <c r="F25" s="62"/>
      <c r="G25" s="62"/>
      <c r="H25" s="62"/>
      <c r="I25" s="62"/>
      <c r="Q25" s="109" t="s">
        <v>55</v>
      </c>
      <c r="R25" s="109"/>
      <c r="S25" s="109"/>
    </row>
    <row r="26" customHeight="1" spans="3:4">
      <c r="C26" t="s">
        <v>56</v>
      </c>
      <c r="D26" s="62"/>
    </row>
  </sheetData>
  <sheetProtection sheet="1" selectLockedCells="1" insertHyperlinks="0" objects="1"/>
  <mergeCells count="55">
    <mergeCell ref="M2:N2"/>
    <mergeCell ref="P3:S3"/>
    <mergeCell ref="M4:N4"/>
    <mergeCell ref="U4:W4"/>
    <mergeCell ref="M5:N5"/>
    <mergeCell ref="M6:N6"/>
    <mergeCell ref="M7:N7"/>
    <mergeCell ref="P7:S7"/>
    <mergeCell ref="M8:N8"/>
    <mergeCell ref="M9:N9"/>
    <mergeCell ref="U9:W9"/>
    <mergeCell ref="M10:N10"/>
    <mergeCell ref="M11:N11"/>
    <mergeCell ref="P11:S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C25:D25"/>
    <mergeCell ref="E25:I25"/>
    <mergeCell ref="Q25:S25"/>
    <mergeCell ref="C26:D26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P14:S15"/>
    <mergeCell ref="P12:S13"/>
    <mergeCell ref="P19:S20"/>
    <mergeCell ref="P16:S18"/>
    <mergeCell ref="P4:S5"/>
    <mergeCell ref="P8:S9"/>
    <mergeCell ref="P21:S22"/>
    <mergeCell ref="U5:W7"/>
    <mergeCell ref="U10:W11"/>
    <mergeCell ref="U12:W13"/>
    <mergeCell ref="U14:W15"/>
    <mergeCell ref="U18:W19"/>
    <mergeCell ref="U16:W17"/>
    <mergeCell ref="U20:W21"/>
  </mergeCells>
  <conditionalFormatting sqref="E18">
    <cfRule type="expression" dxfId="0" priority="73">
      <formula>COUNTIF(M18,"已交稿")</formula>
    </cfRule>
  </conditionalFormatting>
  <conditionalFormatting sqref="F18">
    <cfRule type="expression" dxfId="0" priority="67">
      <formula>COUNTIF(M18,"已交稿")</formula>
    </cfRule>
  </conditionalFormatting>
  <conditionalFormatting sqref="C19">
    <cfRule type="expression" dxfId="1" priority="78">
      <formula>COUNTIF(M19,"已交稿")</formula>
    </cfRule>
  </conditionalFormatting>
  <conditionalFormatting sqref="D19">
    <cfRule type="expression" dxfId="0" priority="51">
      <formula>COUNTIF(M19,"已交稿")</formula>
    </cfRule>
  </conditionalFormatting>
  <conditionalFormatting sqref="E19">
    <cfRule type="expression" dxfId="0" priority="11">
      <formula>COUNTIF(M19,"已交稿")</formula>
    </cfRule>
  </conditionalFormatting>
  <conditionalFormatting sqref="F19">
    <cfRule type="expression" dxfId="0" priority="6">
      <formula>COUNTIF(M19,"已交稿")</formula>
    </cfRule>
  </conditionalFormatting>
  <conditionalFormatting sqref="H19">
    <cfRule type="expression" dxfId="0" priority="41">
      <formula>COUNTIF(M19,"已交稿")</formula>
    </cfRule>
  </conditionalFormatting>
  <conditionalFormatting sqref="I19">
    <cfRule type="expression" dxfId="0" priority="36">
      <formula>COUNTIF(M19,"已交稿")</formula>
    </cfRule>
  </conditionalFormatting>
  <conditionalFormatting sqref="J19">
    <cfRule type="expression" dxfId="0" priority="16">
      <formula>COUNTIF(M19,"已交稿")</formula>
    </cfRule>
  </conditionalFormatting>
  <conditionalFormatting sqref="M19">
    <cfRule type="expression" dxfId="0" priority="21">
      <formula>COUNTIF(M19,"已交稿")</formula>
    </cfRule>
  </conditionalFormatting>
  <conditionalFormatting sqref="C20">
    <cfRule type="expression" dxfId="1" priority="77">
      <formula>COUNTIF(M20,"已交稿")</formula>
    </cfRule>
  </conditionalFormatting>
  <conditionalFormatting sqref="D20">
    <cfRule type="expression" dxfId="0" priority="50">
      <formula>COUNTIF(M20,"已交稿")</formula>
    </cfRule>
  </conditionalFormatting>
  <conditionalFormatting sqref="E20">
    <cfRule type="expression" dxfId="0" priority="10">
      <formula>COUNTIF(M20,"已交稿")</formula>
    </cfRule>
  </conditionalFormatting>
  <conditionalFormatting sqref="F20">
    <cfRule type="expression" dxfId="0" priority="5">
      <formula>COUNTIF(M20,"已交稿")</formula>
    </cfRule>
  </conditionalFormatting>
  <conditionalFormatting sqref="H20">
    <cfRule type="expression" dxfId="0" priority="40">
      <formula>COUNTIF(M20,"已交稿")</formula>
    </cfRule>
  </conditionalFormatting>
  <conditionalFormatting sqref="I20">
    <cfRule type="expression" dxfId="0" priority="35">
      <formula>COUNTIF(M20,"已交稿")</formula>
    </cfRule>
  </conditionalFormatting>
  <conditionalFormatting sqref="J20">
    <cfRule type="expression" dxfId="0" priority="15">
      <formula>COUNTIF(M20,"已交稿")</formula>
    </cfRule>
  </conditionalFormatting>
  <conditionalFormatting sqref="M20">
    <cfRule type="expression" dxfId="0" priority="20">
      <formula>COUNTIF(M20,"已交稿")</formula>
    </cfRule>
  </conditionalFormatting>
  <conditionalFormatting sqref="C21">
    <cfRule type="expression" dxfId="1" priority="76">
      <formula>COUNTIF(M21,"已交稿")</formula>
    </cfRule>
  </conditionalFormatting>
  <conditionalFormatting sqref="D21">
    <cfRule type="expression" dxfId="0" priority="49">
      <formula>COUNTIF(M21,"已交稿")</formula>
    </cfRule>
  </conditionalFormatting>
  <conditionalFormatting sqref="E21">
    <cfRule type="expression" dxfId="0" priority="9">
      <formula>COUNTIF(M21,"已交稿")</formula>
    </cfRule>
  </conditionalFormatting>
  <conditionalFormatting sqref="F21">
    <cfRule type="expression" dxfId="0" priority="4">
      <formula>COUNTIF(M21,"已交稿")</formula>
    </cfRule>
  </conditionalFormatting>
  <conditionalFormatting sqref="H21">
    <cfRule type="expression" dxfId="0" priority="39">
      <formula>COUNTIF(M21,"已交稿")</formula>
    </cfRule>
  </conditionalFormatting>
  <conditionalFormatting sqref="I21">
    <cfRule type="expression" dxfId="0" priority="34">
      <formula>COUNTIF(M21,"已交稿")</formula>
    </cfRule>
  </conditionalFormatting>
  <conditionalFormatting sqref="J21">
    <cfRule type="expression" dxfId="0" priority="14">
      <formula>COUNTIF(M21,"已交稿")</formula>
    </cfRule>
  </conditionalFormatting>
  <conditionalFormatting sqref="M21">
    <cfRule type="expression" dxfId="0" priority="19">
      <formula>COUNTIF(M21,"已交稿")</formula>
    </cfRule>
  </conditionalFormatting>
  <conditionalFormatting sqref="C22">
    <cfRule type="expression" dxfId="1" priority="75">
      <formula>COUNTIF(M22,"已交稿")</formula>
    </cfRule>
  </conditionalFormatting>
  <conditionalFormatting sqref="D22">
    <cfRule type="expression" dxfId="0" priority="48">
      <formula>COUNTIF(M22,"已交稿")</formula>
    </cfRule>
  </conditionalFormatting>
  <conditionalFormatting sqref="E22">
    <cfRule type="expression" dxfId="0" priority="8">
      <formula>COUNTIF(M22,"已交稿")</formula>
    </cfRule>
  </conditionalFormatting>
  <conditionalFormatting sqref="F22">
    <cfRule type="expression" dxfId="0" priority="3">
      <formula>COUNTIF(M22,"已交稿")</formula>
    </cfRule>
  </conditionalFormatting>
  <conditionalFormatting sqref="H22">
    <cfRule type="expression" dxfId="0" priority="38">
      <formula>COUNTIF(M22,"已交稿")</formula>
    </cfRule>
  </conditionalFormatting>
  <conditionalFormatting sqref="I22">
    <cfRule type="expression" dxfId="0" priority="33">
      <formula>COUNTIF(M22,"已交稿")</formula>
    </cfRule>
  </conditionalFormatting>
  <conditionalFormatting sqref="J22">
    <cfRule type="expression" dxfId="0" priority="13">
      <formula>COUNTIF(M22,"已交稿")</formula>
    </cfRule>
  </conditionalFormatting>
  <conditionalFormatting sqref="M22">
    <cfRule type="expression" dxfId="0" priority="18">
      <formula>COUNTIF(M22,"已交稿")</formula>
    </cfRule>
  </conditionalFormatting>
  <conditionalFormatting sqref="C23">
    <cfRule type="expression" dxfId="1" priority="74">
      <formula>COUNTIF(M23,"已交稿")</formula>
    </cfRule>
  </conditionalFormatting>
  <conditionalFormatting sqref="D23">
    <cfRule type="expression" dxfId="0" priority="47">
      <formula>COUNTIF(M23,"已交稿")</formula>
    </cfRule>
  </conditionalFormatting>
  <conditionalFormatting sqref="E23">
    <cfRule type="expression" dxfId="0" priority="7">
      <formula>COUNTIF(M23,"已交稿")</formula>
    </cfRule>
  </conditionalFormatting>
  <conditionalFormatting sqref="F23">
    <cfRule type="expression" dxfId="0" priority="2">
      <formula>COUNTIF(M23,"已交稿")</formula>
    </cfRule>
  </conditionalFormatting>
  <conditionalFormatting sqref="H23">
    <cfRule type="expression" dxfId="0" priority="37">
      <formula>COUNTIF(M23,"已交稿")</formula>
    </cfRule>
  </conditionalFormatting>
  <conditionalFormatting sqref="I23">
    <cfRule type="expression" dxfId="0" priority="32">
      <formula>COUNTIF(M23,"已交稿")</formula>
    </cfRule>
  </conditionalFormatting>
  <conditionalFormatting sqref="J23">
    <cfRule type="expression" dxfId="0" priority="12">
      <formula>COUNTIF(M23,"已交稿")</formula>
    </cfRule>
  </conditionalFormatting>
  <conditionalFormatting sqref="M23">
    <cfRule type="expression" dxfId="0" priority="17">
      <formula>COUNTIF(M23,"已交稿")</formula>
    </cfRule>
  </conditionalFormatting>
  <conditionalFormatting sqref="C26">
    <cfRule type="expression" dxfId="0" priority="1">
      <formula>COUNTIF(L26,"已交稿")</formula>
    </cfRule>
  </conditionalFormatting>
  <conditionalFormatting sqref="B4:B23">
    <cfRule type="expression" dxfId="1" priority="79">
      <formula>COUNTIF(L4,"已交稿")</formula>
    </cfRule>
  </conditionalFormatting>
  <conditionalFormatting sqref="B25:B1048576 C4:C18">
    <cfRule type="expression" dxfId="1" priority="91">
      <formula>COUNTIF(L4,"已交稿")</formula>
    </cfRule>
  </conditionalFormatting>
  <conditionalFormatting sqref="C25 C27:C1048576 D4:D18">
    <cfRule type="expression" dxfId="0" priority="90">
      <formula>COUNTIF(L4,"已交稿")</formula>
    </cfRule>
  </conditionalFormatting>
  <conditionalFormatting sqref="D27:D1048576 E4:E17">
    <cfRule type="expression" dxfId="0" priority="89">
      <formula>COUNTIF(L4,"已交稿")</formula>
    </cfRule>
  </conditionalFormatting>
  <conditionalFormatting sqref="E26:E1048576 F4:F17">
    <cfRule type="expression" dxfId="0" priority="88">
      <formula>COUNTIF(L4,"已交稿")</formula>
    </cfRule>
  </conditionalFormatting>
  <conditionalFormatting sqref="F26:F1048576 G4:G23">
    <cfRule type="expression" dxfId="0" priority="87">
      <formula>COUNTIF(L4,"已交稿")</formula>
    </cfRule>
    <cfRule type="expression" dxfId="2" priority="92">
      <formula>AND(COUNTA(E4),DATEDIF(TODAY(),E4,"d")&lt;4,NOT(COUNTIF(L4,"已交稿")))</formula>
    </cfRule>
    <cfRule type="expression" dxfId="3" priority="93">
      <formula>AND(COUNTA(E4),DATEDIF(TODAY(),E4,"d")&lt;8,NOT(COUNTIF(L4,"已交稿")))</formula>
    </cfRule>
  </conditionalFormatting>
  <conditionalFormatting sqref="G26:G1048576 H4:H18">
    <cfRule type="expression" dxfId="0" priority="86">
      <formula>COUNTIF(L4,"已交稿")</formula>
    </cfRule>
  </conditionalFormatting>
  <conditionalFormatting sqref="H26:H1048576 I4:I18">
    <cfRule type="expression" dxfId="0" priority="85">
      <formula>COUNTIF(L4,"已交稿")</formula>
    </cfRule>
  </conditionalFormatting>
  <conditionalFormatting sqref="I26:I1048576 J4:J18">
    <cfRule type="expression" dxfId="0" priority="81">
      <formula>COUNTIF(L4,"已交稿")</formula>
    </cfRule>
  </conditionalFormatting>
  <conditionalFormatting sqref="J25:J1048576 K4:K23">
    <cfRule type="expression" dxfId="0" priority="84">
      <formula>COUNTIF(L4,"已交稿")</formula>
    </cfRule>
  </conditionalFormatting>
  <conditionalFormatting sqref="K25:K1048576 L4:L23">
    <cfRule type="expression" dxfId="0" priority="83">
      <formula>COUNTIF(L4,"已交稿")</formula>
    </cfRule>
  </conditionalFormatting>
  <conditionalFormatting sqref="L25:L1048576 M4:M18">
    <cfRule type="expression" dxfId="0" priority="82">
      <formula>COUNTIF(L4,"已交稿")</formula>
    </cfRule>
  </conditionalFormatting>
  <dataValidations count="8">
    <dataValidation type="list" allowBlank="1" showInputMessage="1" showErrorMessage="1" sqref="D2 D3">
      <formula1>附表!$B$4:$B$12</formula1>
    </dataValidation>
    <dataValidation type="list" allowBlank="1" sqref="K4 K5:K23" errorStyle="information">
      <formula1>附表!$D$5:$D$16</formula1>
    </dataValidation>
    <dataValidation type="list" allowBlank="1" showInputMessage="1" showErrorMessage="1" sqref="I11 I12 H25:H1048576 I4:I8 I9:I10 I13:I18 I19:I23">
      <formula1>"-,男,女,无性,其他"</formula1>
    </dataValidation>
    <dataValidation allowBlank="1" showInputMessage="1" showErrorMessage="1" sqref="C25 I2:I3 J2:J3 L24:L1048576 C26:D1048576"/>
    <dataValidation type="list" allowBlank="1" showInputMessage="1" showErrorMessage="1" sqref="D4:D23">
      <formula1>附表!$B$5:$B$16</formula1>
    </dataValidation>
    <dataValidation type="list" allowBlank="1" showInputMessage="1" showErrorMessage="1" sqref="I25:I1048576">
      <formula1>"头像,半身"</formula1>
    </dataValidation>
    <dataValidation type="list" allowBlank="1" showInputMessage="1" showErrorMessage="1" sqref="J4:J23">
      <formula1>附表!$C$5:$C$16</formula1>
    </dataValidation>
    <dataValidation type="list" allowBlank="1" showInputMessage="1" showErrorMessage="1" sqref="M4:N23">
      <formula1>"-,等待,绘制中,已交稿"</formula1>
    </dataValidation>
  </dataValidations>
  <pageMargins left="0.75" right="0.75" top="1" bottom="1" header="0.5" footer="0.5"/>
  <pageSetup paperSize="9" orientation="portrait"/>
  <headerFooter/>
  <ignoredErrors>
    <ignoredError sqref="C27:C1048576 H25:H1048576" listDataValidation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K16"/>
  <sheetViews>
    <sheetView showGridLines="0" workbookViewId="0">
      <selection activeCell="B5" sqref="B5"/>
    </sheetView>
  </sheetViews>
  <sheetFormatPr defaultColWidth="9" defaultRowHeight="22" customHeight="1"/>
  <cols>
    <col min="1" max="1" width="5.37272727272727" style="2" customWidth="1"/>
    <col min="2" max="2" width="12.2545454545455" style="2" customWidth="1"/>
    <col min="3" max="3" width="12.8727272727273" style="2" customWidth="1"/>
    <col min="4" max="4" width="28.7545454545455" style="2" customWidth="1"/>
    <col min="5" max="6" width="9.54545454545454" style="2" customWidth="1"/>
    <col min="7" max="7" width="9.72727272727273" style="2" customWidth="1"/>
    <col min="8" max="16384" width="9" style="2"/>
  </cols>
  <sheetData>
    <row r="1" ht="18" customHeight="1"/>
    <row r="2" ht="26" customHeight="1" spans="2:7">
      <c r="B2" s="18" t="s">
        <v>57</v>
      </c>
      <c r="C2" s="18"/>
      <c r="D2" s="18"/>
      <c r="E2" s="19"/>
      <c r="F2" s="20"/>
      <c r="G2" s="20"/>
    </row>
    <row r="3" ht="25" customHeight="1" spans="2:4">
      <c r="B3" s="21" t="s">
        <v>58</v>
      </c>
      <c r="C3" s="21"/>
      <c r="D3" s="21"/>
    </row>
    <row r="4" customHeight="1" spans="2:4">
      <c r="B4" s="22" t="s">
        <v>59</v>
      </c>
      <c r="C4" s="22" t="s">
        <v>60</v>
      </c>
      <c r="D4" s="22" t="s">
        <v>61</v>
      </c>
    </row>
    <row r="5" customHeight="1" spans="2:11">
      <c r="B5" s="23" t="s">
        <v>15</v>
      </c>
      <c r="C5" s="23" t="s">
        <v>24</v>
      </c>
      <c r="D5" s="24" t="s">
        <v>19</v>
      </c>
      <c r="J5" s="31"/>
      <c r="K5" s="31"/>
    </row>
    <row r="6" customHeight="1" spans="2:7">
      <c r="B6" s="23" t="s">
        <v>29</v>
      </c>
      <c r="C6" s="23" t="s">
        <v>18</v>
      </c>
      <c r="D6" s="24" t="s">
        <v>25</v>
      </c>
      <c r="G6" s="25"/>
    </row>
    <row r="7" customHeight="1" spans="2:7">
      <c r="B7" s="23"/>
      <c r="C7" s="23" t="s">
        <v>31</v>
      </c>
      <c r="D7" s="24" t="s">
        <v>32</v>
      </c>
      <c r="G7" s="25"/>
    </row>
    <row r="8" customHeight="1" spans="2:7">
      <c r="B8" s="23"/>
      <c r="C8" s="23" t="s">
        <v>36</v>
      </c>
      <c r="D8" s="24"/>
      <c r="G8" s="25"/>
    </row>
    <row r="9" customHeight="1" spans="2:7">
      <c r="B9" s="23"/>
      <c r="C9" s="23" t="s">
        <v>40</v>
      </c>
      <c r="D9" s="24"/>
      <c r="G9" s="19"/>
    </row>
    <row r="10" customHeight="1" spans="2:4">
      <c r="B10" s="26"/>
      <c r="C10" s="23" t="s">
        <v>62</v>
      </c>
      <c r="D10" s="24"/>
    </row>
    <row r="11" customHeight="1" spans="2:4">
      <c r="B11" s="26"/>
      <c r="C11" s="23" t="s">
        <v>63</v>
      </c>
      <c r="D11" s="24"/>
    </row>
    <row r="12" customHeight="1" spans="2:4">
      <c r="B12" s="26"/>
      <c r="C12" s="23" t="s">
        <v>64</v>
      </c>
      <c r="D12" s="24"/>
    </row>
    <row r="13" customHeight="1" spans="2:4">
      <c r="B13" s="26"/>
      <c r="C13" s="23"/>
      <c r="D13" s="24"/>
    </row>
    <row r="14" customHeight="1" spans="2:4">
      <c r="B14" s="27"/>
      <c r="C14" s="27"/>
      <c r="D14" s="28"/>
    </row>
    <row r="15" customHeight="1" spans="2:4">
      <c r="B15" s="29"/>
      <c r="C15" s="29"/>
      <c r="D15" s="30"/>
    </row>
    <row r="16" customHeight="1" spans="2:4">
      <c r="B16" s="27"/>
      <c r="C16" s="27"/>
      <c r="D16" s="28"/>
    </row>
  </sheetData>
  <sheetProtection sheet="1" selectLockedCells="1" objects="1"/>
  <mergeCells count="2">
    <mergeCell ref="B2:D2"/>
    <mergeCell ref="B3:D3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3"/>
  <sheetViews>
    <sheetView showGridLines="0" workbookViewId="0">
      <pane ySplit="2" topLeftCell="A3" activePane="bottomLeft" state="frozen"/>
      <selection/>
      <selection pane="bottomLeft" activeCell="C3" sqref="C3"/>
    </sheetView>
  </sheetViews>
  <sheetFormatPr defaultColWidth="9" defaultRowHeight="19" customHeight="1" outlineLevelRow="2"/>
  <cols>
    <col min="1" max="1" width="3.5" style="3" customWidth="1"/>
    <col min="2" max="2" width="8" style="4" customWidth="1"/>
    <col min="3" max="3" width="15.3636363636364" style="5" customWidth="1"/>
    <col min="4" max="4" width="8.72727272727273" style="5" customWidth="1"/>
    <col min="5" max="5" width="12.1818181818182" style="6" customWidth="1"/>
    <col min="6" max="6" width="12.3636363636364" style="6" customWidth="1"/>
    <col min="7" max="7" width="12.4545454545455" style="6" customWidth="1"/>
    <col min="8" max="8" width="9.54545454545454" style="5" customWidth="1"/>
    <col min="9" max="9" width="12.5454545454545" style="7" customWidth="1"/>
    <col min="10" max="10" width="14.7272727272727" style="8" customWidth="1"/>
    <col min="11" max="11" width="33.2545454545455" style="5" customWidth="1"/>
    <col min="12" max="12" width="13.2727272727273" style="3" customWidth="1"/>
    <col min="13" max="13" width="17.0909090909091" style="3" customWidth="1"/>
    <col min="14" max="16384" width="9" style="3"/>
  </cols>
  <sheetData>
    <row r="1" s="1" customFormat="1" ht="17" customHeight="1" spans="2:11">
      <c r="B1" s="9"/>
      <c r="C1" s="9"/>
      <c r="D1" s="9"/>
      <c r="E1" s="9"/>
      <c r="F1" s="9"/>
      <c r="G1" s="9"/>
      <c r="H1" s="9"/>
      <c r="I1" s="9"/>
      <c r="J1" s="13"/>
      <c r="K1" s="9"/>
    </row>
    <row r="2" s="2" customFormat="1" ht="29" customHeight="1" spans="2:13">
      <c r="B2" s="10" t="s">
        <v>0</v>
      </c>
      <c r="C2" s="11" t="s">
        <v>1</v>
      </c>
      <c r="D2" s="11" t="s">
        <v>2</v>
      </c>
      <c r="E2" s="11" t="s">
        <v>3</v>
      </c>
      <c r="F2" s="11" t="s">
        <v>4</v>
      </c>
      <c r="G2" s="12" t="s">
        <v>65</v>
      </c>
      <c r="H2" s="11" t="s">
        <v>8</v>
      </c>
      <c r="I2" s="11" t="s">
        <v>10</v>
      </c>
      <c r="J2" s="14" t="s">
        <v>66</v>
      </c>
      <c r="K2" s="15" t="s">
        <v>67</v>
      </c>
      <c r="L2" s="16" t="s">
        <v>68</v>
      </c>
      <c r="M2" s="17">
        <f>SUM(I:I)</f>
        <v>0</v>
      </c>
    </row>
    <row r="3" customHeight="1" spans="10:10">
      <c r="J3" s="5"/>
    </row>
  </sheetData>
  <sheetProtection sheet="1" selectLockedCells="1" autoFilter="0" objects="1"/>
  <autoFilter ref="C2:I8">
    <extLst/>
  </autoFilter>
  <conditionalFormatting sqref="C3">
    <cfRule type="expression" dxfId="0" priority="10">
      <formula>COUNTIF(#REF!,"已交稿")</formula>
    </cfRule>
  </conditionalFormatting>
  <conditionalFormatting sqref="D3">
    <cfRule type="expression" dxfId="0" priority="11">
      <formula>COUNTIF(#REF!,"已交稿")</formula>
    </cfRule>
  </conditionalFormatting>
  <conditionalFormatting sqref="J3">
    <cfRule type="expression" dxfId="0" priority="9">
      <formula>COUNTIF(R2,"已交稿")</formula>
    </cfRule>
  </conditionalFormatting>
  <conditionalFormatting sqref="C4:C1048576">
    <cfRule type="expression" dxfId="0" priority="8">
      <formula>COUNTIF(L3,"已交稿")</formula>
    </cfRule>
  </conditionalFormatting>
  <conditionalFormatting sqref="D4:D1048576">
    <cfRule type="expression" dxfId="0" priority="7">
      <formula>COUNTIF(M3,"已交稿")</formula>
    </cfRule>
  </conditionalFormatting>
  <conditionalFormatting sqref="E3:E1048576">
    <cfRule type="expression" dxfId="0" priority="6">
      <formula>COUNTIF(N2,"已交稿")</formula>
    </cfRule>
  </conditionalFormatting>
  <conditionalFormatting sqref="H3:H1048576">
    <cfRule type="expression" dxfId="0" priority="4">
      <formula>COUNTIF(P2,"已交稿")</formula>
    </cfRule>
  </conditionalFormatting>
  <conditionalFormatting sqref="I3:I1048576">
    <cfRule type="expression" dxfId="0" priority="3">
      <formula>COUNTIF(Q2,"已交稿")</formula>
    </cfRule>
  </conditionalFormatting>
  <conditionalFormatting sqref="K3:K1048576">
    <cfRule type="expression" dxfId="0" priority="1">
      <formula>COUNTIF(T2,"已交稿")</formula>
    </cfRule>
  </conditionalFormatting>
  <conditionalFormatting sqref="F3:G1048576">
    <cfRule type="expression" dxfId="0" priority="5">
      <formula>COUNTIF(O2,"已交稿")</formula>
    </cfRule>
  </conditionalFormatting>
  <dataValidations count="1">
    <dataValidation allowBlank="1" showInputMessage="1" showErrorMessage="1" sqref="D2 I2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附表</vt:lpstr>
      <vt:lpstr>归档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原木</dc:creator>
  <cp:lastModifiedBy>LoGic</cp:lastModifiedBy>
  <dcterms:created xsi:type="dcterms:W3CDTF">2023-06-06T04:36:00Z</dcterms:created>
  <dcterms:modified xsi:type="dcterms:W3CDTF">2024-05-28T11:19:05Z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87529B5542114EB9870405BAF6669596_13</vt:lpwstr>
  </property>
  <property fmtid="{D5CDD505-2E9C-101B-9397-08002B2CF9AE}" pid="3" name="KSOProductBuildVer">
    <vt:lpwstr>2052-12.1.0.16929</vt:lpwstr>
  </property>
</Properties>
</file>